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aibah Works\Taibah Onedriver\Courses\IS Courses\Master\Master of Information Systems\MSIS-822\2025\Exams\"/>
    </mc:Choice>
  </mc:AlternateContent>
  <xr:revisionPtr revIDLastSave="0" documentId="8_{6A46620F-0626-8844-9FAE-49463F98C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le" sheetId="1" r:id="rId1"/>
    <sheet name="Female" sheetId="2" r:id="rId2"/>
    <sheet name="Interpretation" sheetId="3" r:id="rId3"/>
    <sheet name="Corrlation analysis" sheetId="5" r:id="rId4"/>
    <sheet name="All Data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2" l="1"/>
  <c r="B33" i="2"/>
  <c r="E43" i="1"/>
  <c r="B33" i="1"/>
  <c r="B9" i="4"/>
  <c r="C7" i="4"/>
  <c r="B24" i="1"/>
  <c r="I25" i="1"/>
  <c r="P4" i="1"/>
  <c r="B8" i="4"/>
  <c r="C6" i="4"/>
  <c r="B25" i="2"/>
  <c r="H26" i="2"/>
  <c r="P4" i="2"/>
  <c r="P22" i="2"/>
  <c r="P23" i="2"/>
  <c r="P22" i="1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19" i="1"/>
  <c r="P20" i="1"/>
  <c r="P21" i="1"/>
  <c r="P18" i="1"/>
  <c r="P6" i="1"/>
  <c r="P7" i="1"/>
  <c r="P8" i="1"/>
  <c r="P9" i="1"/>
  <c r="P10" i="1"/>
  <c r="P11" i="1"/>
  <c r="P12" i="1"/>
  <c r="P13" i="1"/>
  <c r="P14" i="1"/>
  <c r="P15" i="1"/>
  <c r="P16" i="1"/>
  <c r="P17" i="1"/>
  <c r="P5" i="1"/>
  <c r="C25" i="1"/>
  <c r="D25" i="1"/>
  <c r="O25" i="1"/>
  <c r="N25" i="1"/>
  <c r="M25" i="1"/>
  <c r="H25" i="1"/>
  <c r="G25" i="1"/>
  <c r="F25" i="1"/>
  <c r="K25" i="1"/>
  <c r="J25" i="1"/>
  <c r="E25" i="1"/>
  <c r="L25" i="1"/>
  <c r="C26" i="2"/>
  <c r="G26" i="2"/>
  <c r="F26" i="2"/>
  <c r="E26" i="2"/>
  <c r="I26" i="2"/>
  <c r="D26" i="2"/>
  <c r="O26" i="2"/>
  <c r="N26" i="2"/>
  <c r="M26" i="2"/>
  <c r="L26" i="2"/>
  <c r="K26" i="2"/>
  <c r="J26" i="2"/>
  <c r="C27" i="1"/>
  <c r="B27" i="2"/>
</calcChain>
</file>

<file path=xl/sharedStrings.xml><?xml version="1.0" encoding="utf-8"?>
<sst xmlns="http://schemas.openxmlformats.org/spreadsheetml/2006/main" count="190" uniqueCount="110">
  <si>
    <t>Q1</t>
  </si>
  <si>
    <t>A</t>
  </si>
  <si>
    <t>A:1</t>
  </si>
  <si>
    <t>A:2</t>
  </si>
  <si>
    <t>B</t>
  </si>
  <si>
    <t>Q2</t>
  </si>
  <si>
    <t>B:1</t>
  </si>
  <si>
    <t>B:2</t>
  </si>
  <si>
    <t>Q3</t>
  </si>
  <si>
    <t>Q4</t>
  </si>
  <si>
    <t>A:3</t>
  </si>
  <si>
    <t>C</t>
  </si>
  <si>
    <t>STID</t>
  </si>
  <si>
    <t>Total</t>
  </si>
  <si>
    <t>Item Difficulty Index (p-value)</t>
  </si>
  <si>
    <t>max point</t>
  </si>
  <si>
    <t xml:space="preserve">A:1 </t>
  </si>
  <si>
    <t xml:space="preserve">A:2 </t>
  </si>
  <si>
    <t xml:space="preserve">B </t>
  </si>
  <si>
    <t xml:space="preserve">A </t>
  </si>
  <si>
    <t xml:space="preserve">B:1 </t>
  </si>
  <si>
    <t xml:space="preserve">B:2 </t>
  </si>
  <si>
    <t xml:space="preserve">Q3 </t>
  </si>
  <si>
    <t>Student count</t>
  </si>
  <si>
    <r>
      <t>High p-value (&gt;0.9):</t>
    </r>
    <r>
      <rPr>
        <sz val="10"/>
        <color rgb="FF0F1115"/>
        <rFont val="Segoe UI"/>
        <family val="2"/>
      </rPr>
      <t> Very easy. Most students mastered this concept.</t>
    </r>
  </si>
  <si>
    <r>
      <t>Medium p-value (0.3 - 0.7):</t>
    </r>
    <r>
      <rPr>
        <sz val="10"/>
        <color rgb="FF0F1115"/>
        <rFont val="Segoe UI"/>
        <family val="2"/>
      </rPr>
      <t> Ideal range for discriminating between students.</t>
    </r>
  </si>
  <si>
    <r>
      <t>Low p-value (&lt;0.3):</t>
    </r>
    <r>
      <rPr>
        <sz val="10"/>
        <color rgb="FF0F1115"/>
        <rFont val="Segoe UI"/>
        <family val="2"/>
      </rPr>
      <t> Very difficult. Needs investigation.</t>
    </r>
  </si>
  <si>
    <t>Item Discrimination Index (D)</t>
  </si>
  <si>
    <r>
      <t>D &gt; 0.3:</t>
    </r>
    <r>
      <rPr>
        <sz val="10"/>
        <color rgb="FF0F1115"/>
        <rFont val="Segoe UI"/>
        <family val="2"/>
      </rPr>
      <t> Very good discrimination.</t>
    </r>
  </si>
  <si>
    <r>
      <t>D = 0.2 - 0.3:</t>
    </r>
    <r>
      <rPr>
        <sz val="10"/>
        <color rgb="FF0F1115"/>
        <rFont val="Segoe UI"/>
        <family val="2"/>
      </rPr>
      <t> Reasonably good.</t>
    </r>
  </si>
  <si>
    <r>
      <t>D &lt; 0.2:</t>
    </r>
    <r>
      <rPr>
        <sz val="10"/>
        <color rgb="FF0F1115"/>
        <rFont val="Segoe UI"/>
        <family val="2"/>
      </rPr>
      <t> Poor discrimination. The question is not effectively separating knowledgeable from less knowledgeable students. This could be due to ambiguity, trickiness, or testing an irrelevant skill.</t>
    </r>
  </si>
  <si>
    <t>Item Discrimination Index (D):</t>
  </si>
  <si>
    <t>Female</t>
  </si>
  <si>
    <t>Male</t>
  </si>
  <si>
    <t>Reasonably good.</t>
  </si>
  <si>
    <t>Summary of Cognitive Level Distribution</t>
  </si>
  <si>
    <t>Bloom's Level</t>
  </si>
  <si>
    <t>Questions Mapping</t>
  </si>
  <si>
    <t>Estimated Weight</t>
  </si>
  <si>
    <t>Remember</t>
  </si>
  <si>
    <t>Q2A, Q4A1, Q4A2, Q4A3</t>
  </si>
  <si>
    <t>~20-25%</t>
  </si>
  <si>
    <t>Understand</t>
  </si>
  <si>
    <t>Q1A, Q1B, Q2A, Q3</t>
  </si>
  <si>
    <t>~30-35%</t>
  </si>
  <si>
    <t>Apply</t>
  </si>
  <si>
    <t>Q1A, Q2B, Q4B</t>
  </si>
  <si>
    <t>~25-30%</t>
  </si>
  <si>
    <t>Analyze</t>
  </si>
  <si>
    <t>Q2B, Q3, Q4B</t>
  </si>
  <si>
    <t>~15-20%</t>
  </si>
  <si>
    <t>Evaluate</t>
  </si>
  <si>
    <t>Q4B, Q4C</t>
  </si>
  <si>
    <t>~10%</t>
  </si>
  <si>
    <t>Create</t>
  </si>
  <si>
    <t>Q4C</t>
  </si>
  <si>
    <t>~5%</t>
  </si>
  <si>
    <t>Key Observations:</t>
  </si>
  <si>
    <r>
      <t>1. Well-balanced distribution</t>
    </r>
    <r>
      <rPr>
        <sz val="10"/>
        <color rgb="FF0F1115"/>
        <rFont val="Segoe UI"/>
        <family val="2"/>
      </rPr>
      <t> across lower to middle cognitive levels</t>
    </r>
  </si>
  <si>
    <r>
      <t>2. Heavy emphasis on foundational knowledge</t>
    </r>
    <r>
      <rPr>
        <sz val="10"/>
        <color rgb="FF0F1115"/>
        <rFont val="Segoe UI"/>
        <family val="2"/>
      </rPr>
      <t> (Remember &amp; Understand) - appropriate for a mid-term</t>
    </r>
  </si>
  <si>
    <r>
      <t>3. Good application components</t>
    </r>
    <r>
      <rPr>
        <sz val="10"/>
        <color rgb="FF0F1115"/>
        <rFont val="Segoe UI"/>
        <family val="2"/>
      </rPr>
      <t> in Questions 2B and 4B</t>
    </r>
  </si>
  <si>
    <r>
      <t>4. Limited higher-order thinking</t>
    </r>
    <r>
      <rPr>
        <sz val="10"/>
        <color rgb="FF0F1115"/>
        <rFont val="Segoe UI"/>
        <family val="2"/>
      </rPr>
      <t> - only Question 4C reaches Create level</t>
    </r>
  </si>
  <si>
    <r>
      <t>5. Practical orientation</t>
    </r>
    <r>
      <rPr>
        <sz val="10"/>
        <color rgb="FF0F1115"/>
        <rFont val="Segoe UI"/>
        <family val="2"/>
      </rPr>
      <t> - most questions connect theory to real-world scenarios</t>
    </r>
  </si>
  <si>
    <t>Recommendations for Future Exams:</t>
  </si>
  <si>
    <r>
      <t>Consider adding more </t>
    </r>
    <r>
      <rPr>
        <sz val="10"/>
        <color rgb="FF0F1115"/>
        <rFont val="Segoe UI"/>
        <family val="2"/>
      </rPr>
      <t>Evaluate</t>
    </r>
    <r>
      <rPr>
        <sz val="10"/>
        <color rgb="FF0F1115"/>
        <rFont val="Segoe UI"/>
        <family val="2"/>
      </rPr>
      <t> and </t>
    </r>
    <r>
      <rPr>
        <sz val="10"/>
        <color rgb="FF0F1115"/>
        <rFont val="Segoe UI"/>
        <family val="2"/>
      </rPr>
      <t>Create</t>
    </r>
    <r>
      <rPr>
        <sz val="10"/>
        <color rgb="FF0F1115"/>
        <rFont val="Segoe UI"/>
        <family val="2"/>
      </rPr>
      <t> level questions for comprehensive assessment</t>
    </r>
  </si>
  <si>
    <t>Include more complex problem-solving scenarios requiring synthesis of multiple concepts</t>
  </si>
  <si>
    <t>Balance between theoretical recall and practical application based on course objectives</t>
  </si>
  <si>
    <t>Average Difficulty</t>
  </si>
  <si>
    <t>Ideal: 0.60-0.75</t>
  </si>
  <si>
    <t>Flesch Reading Ease Score:</t>
  </si>
  <si>
    <t>A score between 0-60 is considered "difficult to read." This range is typical for academic and scientific journals. It indicates complex sentence structures and sophisticated vocabulary.</t>
  </si>
  <si>
    <t>Flesch-Kincaid Grade Level</t>
  </si>
  <si>
    <t>35 - 45</t>
  </si>
  <si>
    <t>13 - 15</t>
  </si>
  <si>
    <t>nterpretation: This suggests the text is readable by a person with 13th to 15th grade education, i.e., university-level freshman to junior year, or 1st to 3rd year of a PhD. This is perfectly appropriate for an MS-level course (MSIS 822).</t>
  </si>
  <si>
    <r>
      <t>Time per Point Ratio</t>
    </r>
    <r>
      <rPr>
        <sz val="10"/>
        <color rgb="FF0F1115"/>
        <rFont val="Segoe UI"/>
        <family val="2"/>
      </rPr>
      <t>: </t>
    </r>
  </si>
  <si>
    <t>Reasonably good</t>
  </si>
  <si>
    <t>Q1 Part A</t>
  </si>
  <si>
    <t>25 min</t>
  </si>
  <si>
    <t>Q1 Part B</t>
  </si>
  <si>
    <t>15 min</t>
  </si>
  <si>
    <t>Q2 Part A</t>
  </si>
  <si>
    <t>10 min</t>
  </si>
  <si>
    <t>Q2 Part B</t>
  </si>
  <si>
    <t>30 min</t>
  </si>
  <si>
    <t>5 min</t>
  </si>
  <si>
    <t>Q4 Part A</t>
  </si>
  <si>
    <t>20 min</t>
  </si>
  <si>
    <t>Q4 Part B</t>
  </si>
  <si>
    <t>8 min</t>
  </si>
  <si>
    <t>Q4 Part C</t>
  </si>
  <si>
    <t>7 min</t>
  </si>
  <si>
    <t>Estamted Time per questions</t>
  </si>
  <si>
    <t>Question</t>
  </si>
  <si>
    <t>Points</t>
  </si>
  <si>
    <t>Estimated Time</t>
  </si>
  <si>
    <t>QTI Ratio (min/point)</t>
  </si>
  <si>
    <t>Cronbach's Alpha</t>
  </si>
  <si>
    <t xml:space="preserve">Q1A:1 </t>
  </si>
  <si>
    <t xml:space="preserve">Q1A:2 </t>
  </si>
  <si>
    <t xml:space="preserve">Q1B </t>
  </si>
  <si>
    <t xml:space="preserve">Q2A </t>
  </si>
  <si>
    <t xml:space="preserve">Q2B:1 </t>
  </si>
  <si>
    <t xml:space="preserve">Q2B:2 </t>
  </si>
  <si>
    <t>Q4A:1</t>
  </si>
  <si>
    <t>Q4A:2</t>
  </si>
  <si>
    <t>Q4A:3</t>
  </si>
  <si>
    <t>Q4B:1</t>
  </si>
  <si>
    <t>Q4B:2</t>
  </si>
  <si>
    <t>Ideal range for discriminating between students.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</si>
</sst>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0F1115"/>
      <name val="Segoe UI"/>
      <family val="2"/>
    </font>
    <font>
      <sz val="10"/>
      <color rgb="FF0F1115"/>
      <name val="Segoe UI"/>
      <family val="2"/>
    </font>
    <font>
      <sz val="11"/>
      <color theme="9"/>
      <name val="Arial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b/>
      <sz val="11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i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1"/>
      <color rgb="FFFF0000"/>
      <name val="Times New Roman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2" borderId="8" xfId="0" applyFill="1" applyBorder="1"/>
    <xf numFmtId="0" fontId="0" fillId="2" borderId="9" xfId="0" applyFill="1" applyBorder="1"/>
    <xf numFmtId="0" fontId="0" fillId="2" borderId="0" xfId="0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4" borderId="2" xfId="0" applyFont="1" applyFill="1" applyBorder="1"/>
    <xf numFmtId="0" fontId="2" fillId="4" borderId="4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0" fontId="0" fillId="4" borderId="0" xfId="0" applyFill="1"/>
    <xf numFmtId="0" fontId="1" fillId="0" borderId="0" xfId="0" applyFont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0" fillId="5" borderId="1" xfId="0" applyFill="1" applyBorder="1"/>
    <xf numFmtId="0" fontId="5" fillId="0" borderId="0" xfId="0" applyFont="1"/>
    <xf numFmtId="0" fontId="1" fillId="6" borderId="0" xfId="0" applyFont="1" applyFill="1"/>
    <xf numFmtId="0" fontId="6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right" vertical="center" wrapText="1" indent="1"/>
    </xf>
    <xf numFmtId="0" fontId="7" fillId="0" borderId="0" xfId="0" applyFont="1" applyAlignment="1">
      <alignment horizontal="right" vertical="center" wrapText="1" indent="1"/>
    </xf>
    <xf numFmtId="0" fontId="3" fillId="0" borderId="0" xfId="0" applyFont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11" fillId="7" borderId="1" xfId="0" applyFont="1" applyFill="1" applyBorder="1" applyAlignment="1">
      <alignment horizontal="left" vertical="center" wrapText="1" indent="1"/>
    </xf>
    <xf numFmtId="0" fontId="10" fillId="7" borderId="1" xfId="0" applyFont="1" applyFill="1" applyBorder="1" applyAlignment="1">
      <alignment horizontal="right" vertical="center" wrapText="1" indent="1"/>
    </xf>
    <xf numFmtId="0" fontId="2" fillId="4" borderId="9" xfId="0" applyFont="1" applyFill="1" applyBorder="1"/>
    <xf numFmtId="0" fontId="3" fillId="0" borderId="1" xfId="0" applyFont="1" applyBorder="1"/>
    <xf numFmtId="0" fontId="0" fillId="8" borderId="1" xfId="0" applyFill="1" applyBorder="1"/>
    <xf numFmtId="0" fontId="4" fillId="0" borderId="1" xfId="0" applyFont="1" applyBorder="1"/>
    <xf numFmtId="0" fontId="0" fillId="9" borderId="1" xfId="0" applyFill="1" applyBorder="1"/>
    <xf numFmtId="0" fontId="0" fillId="10" borderId="1" xfId="0" applyFill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topLeftCell="F1" workbookViewId="0">
      <selection activeCell="L10" sqref="A10:XFD10"/>
    </sheetView>
  </sheetViews>
  <sheetFormatPr defaultRowHeight="13.5" x14ac:dyDescent="0.15"/>
  <cols>
    <col min="1" max="1" width="29.421875" customWidth="1"/>
    <col min="2" max="2" width="9.55859375" bestFit="1" customWidth="1"/>
  </cols>
  <sheetData>
    <row r="1" spans="2:17" ht="14.25" thickBot="1" x14ac:dyDescent="0.2"/>
    <row r="2" spans="2:17" x14ac:dyDescent="0.15">
      <c r="B2" s="11"/>
      <c r="C2" s="47" t="s">
        <v>0</v>
      </c>
      <c r="D2" s="47"/>
      <c r="E2" s="47"/>
      <c r="F2" s="47" t="s">
        <v>5</v>
      </c>
      <c r="G2" s="47"/>
      <c r="H2" s="47"/>
      <c r="I2" s="48" t="s">
        <v>8</v>
      </c>
      <c r="J2" s="47" t="s">
        <v>9</v>
      </c>
      <c r="K2" s="47"/>
      <c r="L2" s="47"/>
      <c r="M2" s="47"/>
      <c r="N2" s="47"/>
      <c r="O2" s="47"/>
      <c r="P2" s="12"/>
    </row>
    <row r="3" spans="2:17" ht="14.25" thickBot="1" x14ac:dyDescent="0.2">
      <c r="B3" s="20" t="s">
        <v>12</v>
      </c>
      <c r="C3" s="21" t="s">
        <v>2</v>
      </c>
      <c r="D3" s="21" t="s">
        <v>3</v>
      </c>
      <c r="E3" s="21" t="s">
        <v>4</v>
      </c>
      <c r="F3" s="21" t="s">
        <v>1</v>
      </c>
      <c r="G3" s="21" t="s">
        <v>6</v>
      </c>
      <c r="H3" s="21" t="s">
        <v>7</v>
      </c>
      <c r="I3" s="49"/>
      <c r="J3" s="21" t="s">
        <v>2</v>
      </c>
      <c r="K3" s="21" t="s">
        <v>3</v>
      </c>
      <c r="L3" s="21" t="s">
        <v>10</v>
      </c>
      <c r="M3" s="21" t="s">
        <v>6</v>
      </c>
      <c r="N3" s="21" t="s">
        <v>7</v>
      </c>
      <c r="O3" s="21" t="s">
        <v>11</v>
      </c>
      <c r="P3" s="22" t="s">
        <v>13</v>
      </c>
    </row>
    <row r="4" spans="2:17" x14ac:dyDescent="0.15">
      <c r="B4" s="8" t="s">
        <v>15</v>
      </c>
      <c r="C4" s="8">
        <v>3</v>
      </c>
      <c r="D4" s="8">
        <v>3</v>
      </c>
      <c r="E4" s="8">
        <v>4</v>
      </c>
      <c r="F4" s="8">
        <v>3</v>
      </c>
      <c r="G4" s="8">
        <v>4</v>
      </c>
      <c r="H4" s="8">
        <v>3</v>
      </c>
      <c r="I4" s="9">
        <v>1</v>
      </c>
      <c r="J4" s="8">
        <v>2</v>
      </c>
      <c r="K4" s="8">
        <v>2</v>
      </c>
      <c r="L4" s="8">
        <v>1</v>
      </c>
      <c r="M4" s="8">
        <v>1</v>
      </c>
      <c r="N4" s="8">
        <v>1</v>
      </c>
      <c r="O4" s="8">
        <v>2</v>
      </c>
      <c r="P4" s="10">
        <f>SUM(C4:O4)</f>
        <v>30</v>
      </c>
    </row>
    <row r="5" spans="2:17" x14ac:dyDescent="0.15">
      <c r="B5" s="4">
        <v>11426</v>
      </c>
      <c r="C5" s="4">
        <v>3</v>
      </c>
      <c r="D5" s="4">
        <v>2</v>
      </c>
      <c r="E5" s="4">
        <v>3</v>
      </c>
      <c r="F5" s="4">
        <v>1</v>
      </c>
      <c r="G5" s="4">
        <v>3</v>
      </c>
      <c r="H5" s="4">
        <v>0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2</v>
      </c>
      <c r="P5" s="5">
        <f>SUM(C5:O5)</f>
        <v>15</v>
      </c>
    </row>
    <row r="6" spans="2:17" x14ac:dyDescent="0.15">
      <c r="B6" s="2">
        <v>11111</v>
      </c>
      <c r="C6" s="2">
        <v>3</v>
      </c>
      <c r="D6" s="2">
        <v>0</v>
      </c>
      <c r="E6" s="2">
        <v>2</v>
      </c>
      <c r="F6" s="2">
        <v>0</v>
      </c>
      <c r="G6" s="2">
        <v>0</v>
      </c>
      <c r="H6" s="2">
        <v>0</v>
      </c>
      <c r="I6" s="2">
        <v>0</v>
      </c>
      <c r="J6" s="2">
        <v>2</v>
      </c>
      <c r="K6" s="2">
        <v>1</v>
      </c>
      <c r="L6" s="2">
        <v>1</v>
      </c>
      <c r="M6" s="2">
        <v>0</v>
      </c>
      <c r="N6" s="2">
        <v>0</v>
      </c>
      <c r="O6" s="2">
        <v>2</v>
      </c>
      <c r="P6" s="3">
        <f t="shared" ref="P6:P22" si="0">SUM(C6:O6)</f>
        <v>11</v>
      </c>
    </row>
    <row r="7" spans="2:17" x14ac:dyDescent="0.15">
      <c r="B7" s="2">
        <v>22222</v>
      </c>
      <c r="C7" s="2">
        <v>1</v>
      </c>
      <c r="D7" s="2">
        <v>0</v>
      </c>
      <c r="E7" s="2">
        <v>0</v>
      </c>
      <c r="F7" s="2">
        <v>2</v>
      </c>
      <c r="G7" s="2">
        <v>4</v>
      </c>
      <c r="H7" s="2">
        <v>3</v>
      </c>
      <c r="I7" s="2">
        <v>0</v>
      </c>
      <c r="J7" s="2">
        <v>2</v>
      </c>
      <c r="K7" s="2">
        <v>2</v>
      </c>
      <c r="L7" s="2">
        <v>0</v>
      </c>
      <c r="M7" s="2">
        <v>1</v>
      </c>
      <c r="N7" s="2">
        <v>0.5</v>
      </c>
      <c r="O7" s="2">
        <v>1</v>
      </c>
      <c r="P7" s="3">
        <f t="shared" si="0"/>
        <v>16.5</v>
      </c>
    </row>
    <row r="8" spans="2:17" x14ac:dyDescent="0.15">
      <c r="B8" s="2">
        <v>11482</v>
      </c>
      <c r="C8" s="2">
        <v>1</v>
      </c>
      <c r="D8" s="2">
        <v>1</v>
      </c>
      <c r="E8" s="2">
        <v>1</v>
      </c>
      <c r="F8" s="2">
        <v>1</v>
      </c>
      <c r="G8" s="2">
        <v>1.5</v>
      </c>
      <c r="H8" s="2">
        <v>2</v>
      </c>
      <c r="I8" s="2">
        <v>0</v>
      </c>
      <c r="J8" s="2">
        <v>2</v>
      </c>
      <c r="K8" s="2">
        <v>2</v>
      </c>
      <c r="L8" s="2">
        <v>0</v>
      </c>
      <c r="M8" s="2">
        <v>0</v>
      </c>
      <c r="N8" s="2">
        <v>0</v>
      </c>
      <c r="O8" s="2">
        <v>2</v>
      </c>
      <c r="P8" s="3">
        <f t="shared" si="0"/>
        <v>13.5</v>
      </c>
    </row>
    <row r="9" spans="2:17" x14ac:dyDescent="0.15">
      <c r="B9" s="2">
        <v>11241</v>
      </c>
      <c r="C9" s="2">
        <v>2</v>
      </c>
      <c r="D9" s="2">
        <v>2</v>
      </c>
      <c r="E9" s="2">
        <v>4</v>
      </c>
      <c r="F9" s="2">
        <v>1.5</v>
      </c>
      <c r="G9" s="2">
        <v>3</v>
      </c>
      <c r="H9" s="2">
        <v>1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1</v>
      </c>
      <c r="P9" s="3">
        <f t="shared" si="0"/>
        <v>16.5</v>
      </c>
    </row>
    <row r="10" spans="2:17" x14ac:dyDescent="0.15">
      <c r="B10" s="2">
        <v>11242</v>
      </c>
      <c r="C10" s="2">
        <v>0</v>
      </c>
      <c r="D10" s="2">
        <v>1</v>
      </c>
      <c r="E10" s="2">
        <v>4</v>
      </c>
      <c r="F10" s="2">
        <v>1.5</v>
      </c>
      <c r="G10" s="2">
        <v>3</v>
      </c>
      <c r="H10" s="2">
        <v>2</v>
      </c>
      <c r="I10" s="2">
        <v>1</v>
      </c>
      <c r="J10" s="2">
        <v>2</v>
      </c>
      <c r="K10" s="2">
        <v>2</v>
      </c>
      <c r="L10" s="2">
        <v>0</v>
      </c>
      <c r="M10" s="2">
        <v>1</v>
      </c>
      <c r="N10" s="2">
        <v>0.5</v>
      </c>
      <c r="O10" s="2">
        <v>2</v>
      </c>
      <c r="P10" s="3">
        <f t="shared" si="0"/>
        <v>20</v>
      </c>
    </row>
    <row r="11" spans="2:17" x14ac:dyDescent="0.15">
      <c r="B11" s="2">
        <v>11253</v>
      </c>
      <c r="C11" s="2">
        <v>2</v>
      </c>
      <c r="D11" s="2">
        <v>0</v>
      </c>
      <c r="E11" s="2">
        <v>1</v>
      </c>
      <c r="F11" s="2">
        <v>1.5</v>
      </c>
      <c r="G11" s="2">
        <v>1</v>
      </c>
      <c r="H11" s="2">
        <v>0</v>
      </c>
      <c r="I11" s="2">
        <v>0</v>
      </c>
      <c r="J11" s="2">
        <v>0</v>
      </c>
      <c r="K11" s="2">
        <v>2</v>
      </c>
      <c r="L11" s="2">
        <v>0</v>
      </c>
      <c r="M11" s="2">
        <v>0</v>
      </c>
      <c r="N11" s="2">
        <v>0</v>
      </c>
      <c r="O11" s="2">
        <v>1</v>
      </c>
      <c r="P11" s="3">
        <f t="shared" si="0"/>
        <v>8.5</v>
      </c>
      <c r="Q11">
        <v>13</v>
      </c>
    </row>
    <row r="12" spans="2:17" x14ac:dyDescent="0.15">
      <c r="B12" s="2">
        <v>33333</v>
      </c>
      <c r="C12" s="2">
        <v>2</v>
      </c>
      <c r="D12" s="2">
        <v>0</v>
      </c>
      <c r="E12" s="2">
        <v>0</v>
      </c>
      <c r="F12" s="2">
        <v>3</v>
      </c>
      <c r="G12" s="2">
        <v>3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1</v>
      </c>
      <c r="P12" s="3">
        <f t="shared" si="0"/>
        <v>11</v>
      </c>
    </row>
    <row r="13" spans="2:17" x14ac:dyDescent="0.15">
      <c r="B13" s="2">
        <v>44444</v>
      </c>
      <c r="C13" s="2">
        <v>3</v>
      </c>
      <c r="D13" s="2">
        <v>0</v>
      </c>
      <c r="E13" s="2">
        <v>1</v>
      </c>
      <c r="F13" s="2">
        <v>1</v>
      </c>
      <c r="G13" s="2">
        <v>4</v>
      </c>
      <c r="H13" s="2">
        <v>2.5</v>
      </c>
      <c r="I13" s="2">
        <v>0.5</v>
      </c>
      <c r="J13" s="2">
        <v>0</v>
      </c>
      <c r="K13" s="2">
        <v>2</v>
      </c>
      <c r="L13" s="2">
        <v>0</v>
      </c>
      <c r="M13" s="2">
        <v>0</v>
      </c>
      <c r="N13" s="2">
        <v>0</v>
      </c>
      <c r="O13" s="2">
        <v>2</v>
      </c>
      <c r="P13" s="3">
        <f t="shared" si="0"/>
        <v>16</v>
      </c>
    </row>
    <row r="14" spans="2:17" x14ac:dyDescent="0.15">
      <c r="B14" s="2">
        <v>11245</v>
      </c>
      <c r="C14" s="2">
        <v>3</v>
      </c>
      <c r="D14" s="2">
        <v>2</v>
      </c>
      <c r="E14" s="2">
        <v>1</v>
      </c>
      <c r="F14" s="2">
        <v>3</v>
      </c>
      <c r="G14" s="2">
        <v>4</v>
      </c>
      <c r="H14" s="2">
        <v>3</v>
      </c>
      <c r="I14" s="2">
        <v>0.5</v>
      </c>
      <c r="J14" s="2">
        <v>2</v>
      </c>
      <c r="K14" s="2">
        <v>2</v>
      </c>
      <c r="L14" s="2">
        <v>0</v>
      </c>
      <c r="M14" s="2">
        <v>0</v>
      </c>
      <c r="N14" s="2">
        <v>0</v>
      </c>
      <c r="O14" s="2">
        <v>2</v>
      </c>
      <c r="P14" s="3">
        <f t="shared" si="0"/>
        <v>22.5</v>
      </c>
    </row>
    <row r="15" spans="2:17" hidden="1" x14ac:dyDescent="0.15">
      <c r="B15" s="2">
        <v>55555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0.5</v>
      </c>
      <c r="J15" s="2">
        <v>2</v>
      </c>
      <c r="K15" s="2">
        <v>2</v>
      </c>
      <c r="L15" s="2">
        <v>0</v>
      </c>
      <c r="M15" s="2">
        <v>0</v>
      </c>
      <c r="N15" s="2">
        <v>0</v>
      </c>
      <c r="O15" s="2">
        <v>1</v>
      </c>
      <c r="P15" s="3">
        <f t="shared" si="0"/>
        <v>6.5</v>
      </c>
    </row>
    <row r="16" spans="2:17" x14ac:dyDescent="0.15">
      <c r="B16" s="2">
        <v>66666</v>
      </c>
      <c r="C16" s="2">
        <v>0</v>
      </c>
      <c r="D16" s="2">
        <v>0</v>
      </c>
      <c r="E16" s="2">
        <v>0</v>
      </c>
      <c r="F16" s="2">
        <v>1.5</v>
      </c>
      <c r="G16" s="2">
        <v>0</v>
      </c>
      <c r="H16" s="2">
        <v>1</v>
      </c>
      <c r="I16" s="2">
        <v>0.5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2</v>
      </c>
      <c r="P16" s="3">
        <f t="shared" si="0"/>
        <v>5</v>
      </c>
    </row>
    <row r="17" spans="1:16" x14ac:dyDescent="0.15">
      <c r="B17" s="2">
        <v>11255</v>
      </c>
      <c r="C17" s="2">
        <v>2</v>
      </c>
      <c r="D17" s="2">
        <v>2</v>
      </c>
      <c r="E17" s="2">
        <v>2</v>
      </c>
      <c r="F17" s="2">
        <v>1</v>
      </c>
      <c r="G17" s="2">
        <v>4</v>
      </c>
      <c r="H17" s="2">
        <v>1</v>
      </c>
      <c r="I17" s="2">
        <v>0</v>
      </c>
      <c r="J17" s="2">
        <v>0</v>
      </c>
      <c r="K17" s="2">
        <v>2</v>
      </c>
      <c r="L17" s="2">
        <v>1</v>
      </c>
      <c r="M17" s="2">
        <v>1</v>
      </c>
      <c r="N17" s="2">
        <v>1</v>
      </c>
      <c r="O17" s="2">
        <v>2</v>
      </c>
      <c r="P17" s="3">
        <f t="shared" si="0"/>
        <v>19</v>
      </c>
    </row>
    <row r="18" spans="1:16" x14ac:dyDescent="0.15">
      <c r="B18" s="2">
        <v>11252</v>
      </c>
      <c r="C18" s="2">
        <v>3</v>
      </c>
      <c r="D18" s="2">
        <v>3</v>
      </c>
      <c r="E18" s="2">
        <v>1</v>
      </c>
      <c r="F18" s="2">
        <v>3</v>
      </c>
      <c r="G18" s="2">
        <v>4</v>
      </c>
      <c r="H18" s="2">
        <v>2</v>
      </c>
      <c r="I18" s="2">
        <v>0.5</v>
      </c>
      <c r="J18" s="2">
        <v>0</v>
      </c>
      <c r="K18" s="2">
        <v>2</v>
      </c>
      <c r="L18" s="2">
        <v>0</v>
      </c>
      <c r="M18" s="2">
        <v>0</v>
      </c>
      <c r="N18" s="2">
        <v>0</v>
      </c>
      <c r="O18" s="2">
        <v>1</v>
      </c>
      <c r="P18" s="3">
        <f t="shared" si="0"/>
        <v>19.5</v>
      </c>
    </row>
    <row r="19" spans="1:16" x14ac:dyDescent="0.15">
      <c r="B19" s="2">
        <v>11471</v>
      </c>
      <c r="C19" s="2">
        <v>2</v>
      </c>
      <c r="D19" s="2">
        <v>0</v>
      </c>
      <c r="E19" s="2">
        <v>2</v>
      </c>
      <c r="F19" s="2">
        <v>1</v>
      </c>
      <c r="G19" s="2">
        <v>1</v>
      </c>
      <c r="H19" s="2">
        <v>1</v>
      </c>
      <c r="I19" s="2">
        <v>0</v>
      </c>
      <c r="J19" s="2">
        <v>0</v>
      </c>
      <c r="K19" s="2">
        <v>2</v>
      </c>
      <c r="L19" s="2">
        <v>0</v>
      </c>
      <c r="M19" s="2">
        <v>0</v>
      </c>
      <c r="N19" s="2">
        <v>0</v>
      </c>
      <c r="O19" s="2">
        <v>0</v>
      </c>
      <c r="P19" s="3">
        <f t="shared" si="0"/>
        <v>9</v>
      </c>
    </row>
    <row r="20" spans="1:16" x14ac:dyDescent="0.15">
      <c r="B20" s="2">
        <v>11249</v>
      </c>
      <c r="C20" s="2">
        <v>3</v>
      </c>
      <c r="D20" s="2">
        <v>2</v>
      </c>
      <c r="E20" s="2">
        <v>0</v>
      </c>
      <c r="F20" s="2">
        <v>1</v>
      </c>
      <c r="G20" s="2">
        <v>4</v>
      </c>
      <c r="H20" s="2">
        <v>0</v>
      </c>
      <c r="I20" s="2">
        <v>0</v>
      </c>
      <c r="J20" s="2">
        <v>1</v>
      </c>
      <c r="K20" s="2">
        <v>2</v>
      </c>
      <c r="L20" s="2">
        <v>0</v>
      </c>
      <c r="M20" s="2">
        <v>1</v>
      </c>
      <c r="N20" s="2">
        <v>0.5</v>
      </c>
      <c r="O20" s="2">
        <v>0</v>
      </c>
      <c r="P20" s="3">
        <f t="shared" si="0"/>
        <v>14.5</v>
      </c>
    </row>
    <row r="21" spans="1:16" x14ac:dyDescent="0.15">
      <c r="B21" s="2">
        <v>11238</v>
      </c>
      <c r="C21" s="2">
        <v>0</v>
      </c>
      <c r="D21" s="2">
        <v>0</v>
      </c>
      <c r="E21" s="2">
        <v>1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3">
        <f t="shared" si="0"/>
        <v>2</v>
      </c>
    </row>
    <row r="22" spans="1:16" x14ac:dyDescent="0.15">
      <c r="B22" s="2">
        <v>11236</v>
      </c>
      <c r="C22" s="2">
        <v>1</v>
      </c>
      <c r="D22" s="2">
        <v>2</v>
      </c>
      <c r="E22" s="2">
        <v>0</v>
      </c>
      <c r="F22" s="2">
        <v>3</v>
      </c>
      <c r="G22" s="2">
        <v>4</v>
      </c>
      <c r="H22" s="2">
        <v>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6">
        <f t="shared" si="0"/>
        <v>12</v>
      </c>
    </row>
    <row r="23" spans="1:16" x14ac:dyDescent="0.15">
      <c r="C23">
        <v>1.72</v>
      </c>
      <c r="D23">
        <v>0.94399999999999995</v>
      </c>
      <c r="E23">
        <v>1.33</v>
      </c>
      <c r="F23">
        <v>1.44</v>
      </c>
      <c r="G23">
        <v>2.56</v>
      </c>
      <c r="H23">
        <v>1.167</v>
      </c>
      <c r="I23">
        <v>0.25</v>
      </c>
      <c r="J23">
        <v>0.72199999999999998</v>
      </c>
      <c r="K23">
        <v>1.333</v>
      </c>
      <c r="L23">
        <v>0.16700000000000001</v>
      </c>
      <c r="M23">
        <v>0.222</v>
      </c>
      <c r="N23">
        <v>0.19400000000000001</v>
      </c>
      <c r="O23">
        <v>1.33</v>
      </c>
    </row>
    <row r="24" spans="1:16" x14ac:dyDescent="0.15">
      <c r="A24" t="s">
        <v>23</v>
      </c>
      <c r="B24">
        <f>COUNT(B3:B21)</f>
        <v>17</v>
      </c>
      <c r="L24">
        <v>1.03</v>
      </c>
    </row>
    <row r="25" spans="1:16" x14ac:dyDescent="0.15">
      <c r="A25" s="2" t="s">
        <v>14</v>
      </c>
      <c r="B25" s="2"/>
      <c r="C25" s="2">
        <f t="shared" ref="C25:O25" si="1">SUM(C4:C22)/($B$24*C4)</f>
        <v>0.66666666666666663</v>
      </c>
      <c r="D25" s="40">
        <f t="shared" si="1"/>
        <v>0.39215686274509803</v>
      </c>
      <c r="E25" s="41">
        <f t="shared" si="1"/>
        <v>0.41176470588235292</v>
      </c>
      <c r="F25" s="2">
        <f t="shared" si="1"/>
        <v>0.56862745098039214</v>
      </c>
      <c r="G25" s="2">
        <f t="shared" si="1"/>
        <v>0.71323529411764708</v>
      </c>
      <c r="H25" s="41">
        <f t="shared" si="1"/>
        <v>0.48039215686274511</v>
      </c>
      <c r="I25" s="40">
        <f t="shared" si="1"/>
        <v>0.3235294117647059</v>
      </c>
      <c r="J25" s="41">
        <f t="shared" si="1"/>
        <v>0.44117647058823528</v>
      </c>
      <c r="K25" s="2">
        <f t="shared" si="1"/>
        <v>0.76470588235294112</v>
      </c>
      <c r="L25" s="23">
        <f t="shared" si="1"/>
        <v>0.23529411764705882</v>
      </c>
      <c r="M25" s="23">
        <f t="shared" si="1"/>
        <v>0.29411764705882354</v>
      </c>
      <c r="N25" s="23">
        <f t="shared" si="1"/>
        <v>0.26470588235294118</v>
      </c>
      <c r="O25" s="2">
        <f t="shared" si="1"/>
        <v>0.70588235294117652</v>
      </c>
    </row>
    <row r="26" spans="1:16" ht="14.25" x14ac:dyDescent="0.2">
      <c r="A26" s="39" t="s">
        <v>27</v>
      </c>
      <c r="B26" s="2"/>
      <c r="C26" s="2">
        <v>2.66</v>
      </c>
      <c r="D26" s="45" t="s">
        <v>34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</row>
    <row r="27" spans="1:16" ht="14.25" x14ac:dyDescent="0.2">
      <c r="A27" s="37" t="s">
        <v>67</v>
      </c>
      <c r="B27" s="2"/>
      <c r="C27" s="2">
        <f>AVERAGE(C25:O25)</f>
        <v>0.48171191553544496</v>
      </c>
      <c r="D27" s="45" t="s">
        <v>109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</row>
    <row r="28" spans="1:16" ht="14.25" x14ac:dyDescent="0.2">
      <c r="A28" s="3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4.25" x14ac:dyDescent="0.2">
      <c r="A29" s="39" t="s">
        <v>97</v>
      </c>
      <c r="B29" s="2"/>
    </row>
    <row r="30" spans="1:16" ht="14.25" x14ac:dyDescent="0.2">
      <c r="A30" s="37" t="s">
        <v>69</v>
      </c>
      <c r="B30" s="39" t="s">
        <v>72</v>
      </c>
      <c r="C30" s="33"/>
    </row>
    <row r="31" spans="1:16" ht="14.25" x14ac:dyDescent="0.2">
      <c r="A31" s="39" t="s">
        <v>71</v>
      </c>
      <c r="B31" s="39" t="s">
        <v>73</v>
      </c>
    </row>
    <row r="32" spans="1:16" ht="14.25" x14ac:dyDescent="0.2">
      <c r="A32" s="16"/>
      <c r="B32" s="16"/>
    </row>
    <row r="33" spans="1:5" ht="14.25" x14ac:dyDescent="0.2">
      <c r="A33" s="39" t="s">
        <v>75</v>
      </c>
      <c r="B33" s="2">
        <f>120/30</f>
        <v>4</v>
      </c>
      <c r="C33" s="45" t="s">
        <v>76</v>
      </c>
      <c r="D33" s="45"/>
      <c r="E33" s="2"/>
    </row>
    <row r="34" spans="1:5" ht="36.75" x14ac:dyDescent="0.2">
      <c r="A34" s="46" t="s">
        <v>92</v>
      </c>
      <c r="B34" s="34" t="s">
        <v>93</v>
      </c>
      <c r="C34" s="34" t="s">
        <v>94</v>
      </c>
      <c r="D34" s="34" t="s">
        <v>95</v>
      </c>
      <c r="E34" s="34" t="s">
        <v>96</v>
      </c>
    </row>
    <row r="35" spans="1:5" ht="14.25" x14ac:dyDescent="0.2">
      <c r="A35" s="46"/>
      <c r="B35" s="35" t="s">
        <v>77</v>
      </c>
      <c r="C35" s="35">
        <v>6</v>
      </c>
      <c r="D35" s="35" t="s">
        <v>78</v>
      </c>
      <c r="E35" s="35">
        <v>4.2</v>
      </c>
    </row>
    <row r="36" spans="1:5" ht="14.25" x14ac:dyDescent="0.2">
      <c r="A36" s="46"/>
      <c r="B36" s="35" t="s">
        <v>79</v>
      </c>
      <c r="C36" s="35">
        <v>4</v>
      </c>
      <c r="D36" s="35" t="s">
        <v>80</v>
      </c>
      <c r="E36" s="35">
        <v>3.8</v>
      </c>
    </row>
    <row r="37" spans="1:5" ht="14.25" x14ac:dyDescent="0.2">
      <c r="A37" s="46"/>
      <c r="B37" s="35" t="s">
        <v>81</v>
      </c>
      <c r="C37" s="35">
        <v>3</v>
      </c>
      <c r="D37" s="35" t="s">
        <v>82</v>
      </c>
      <c r="E37" s="35">
        <v>3.3</v>
      </c>
    </row>
    <row r="38" spans="1:5" ht="14.25" x14ac:dyDescent="0.2">
      <c r="A38" s="46"/>
      <c r="B38" s="35" t="s">
        <v>83</v>
      </c>
      <c r="C38" s="35">
        <v>7</v>
      </c>
      <c r="D38" s="35" t="s">
        <v>84</v>
      </c>
      <c r="E38" s="35">
        <v>4.3</v>
      </c>
    </row>
    <row r="39" spans="1:5" ht="14.25" x14ac:dyDescent="0.2">
      <c r="A39" s="46"/>
      <c r="B39" s="35" t="s">
        <v>8</v>
      </c>
      <c r="C39" s="35">
        <v>1</v>
      </c>
      <c r="D39" s="35" t="s">
        <v>85</v>
      </c>
      <c r="E39" s="35">
        <v>5</v>
      </c>
    </row>
    <row r="40" spans="1:5" ht="14.25" x14ac:dyDescent="0.2">
      <c r="A40" s="46"/>
      <c r="B40" s="35" t="s">
        <v>86</v>
      </c>
      <c r="C40" s="35">
        <v>5</v>
      </c>
      <c r="D40" s="35" t="s">
        <v>87</v>
      </c>
      <c r="E40" s="35">
        <v>4</v>
      </c>
    </row>
    <row r="41" spans="1:5" ht="14.25" x14ac:dyDescent="0.2">
      <c r="A41" s="46"/>
      <c r="B41" s="35" t="s">
        <v>88</v>
      </c>
      <c r="C41" s="35">
        <v>2</v>
      </c>
      <c r="D41" s="35" t="s">
        <v>89</v>
      </c>
      <c r="E41" s="35">
        <v>4</v>
      </c>
    </row>
    <row r="42" spans="1:5" ht="14.25" x14ac:dyDescent="0.2">
      <c r="A42" s="46"/>
      <c r="B42" s="35" t="s">
        <v>90</v>
      </c>
      <c r="C42" s="35">
        <v>2</v>
      </c>
      <c r="D42" s="35" t="s">
        <v>91</v>
      </c>
      <c r="E42" s="35">
        <v>3.5</v>
      </c>
    </row>
    <row r="43" spans="1:5" x14ac:dyDescent="0.15">
      <c r="A43" s="31"/>
      <c r="E43">
        <f>AVERAGE(E35:E42)</f>
        <v>4.0125000000000002</v>
      </c>
    </row>
  </sheetData>
  <mergeCells count="8">
    <mergeCell ref="C33:D33"/>
    <mergeCell ref="D26:O26"/>
    <mergeCell ref="D27:O27"/>
    <mergeCell ref="A34:A42"/>
    <mergeCell ref="C2:E2"/>
    <mergeCell ref="F2:H2"/>
    <mergeCell ref="J2:O2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39AF-4D70-44E2-B782-21F54618575E}">
  <dimension ref="A1:P43"/>
  <sheetViews>
    <sheetView topLeftCell="A18" workbookViewId="0">
      <selection activeCell="I35" sqref="I35"/>
    </sheetView>
  </sheetViews>
  <sheetFormatPr defaultRowHeight="13.5" x14ac:dyDescent="0.15"/>
  <cols>
    <col min="1" max="1" width="26.48046875" bestFit="1" customWidth="1"/>
  </cols>
  <sheetData>
    <row r="1" spans="2:16" ht="14.25" thickBot="1" x14ac:dyDescent="0.2"/>
    <row r="2" spans="2:16" x14ac:dyDescent="0.15">
      <c r="B2" s="11"/>
      <c r="C2" s="47" t="s">
        <v>0</v>
      </c>
      <c r="D2" s="47"/>
      <c r="E2" s="47"/>
      <c r="F2" s="47" t="s">
        <v>5</v>
      </c>
      <c r="G2" s="47"/>
      <c r="H2" s="47"/>
      <c r="I2" s="48" t="s">
        <v>22</v>
      </c>
      <c r="J2" s="47" t="s">
        <v>9</v>
      </c>
      <c r="K2" s="47"/>
      <c r="L2" s="47"/>
      <c r="M2" s="47"/>
      <c r="N2" s="47"/>
      <c r="O2" s="47"/>
      <c r="P2" s="12"/>
    </row>
    <row r="3" spans="2:16" x14ac:dyDescent="0.15">
      <c r="B3" s="13" t="s">
        <v>12</v>
      </c>
      <c r="C3" s="14" t="s">
        <v>16</v>
      </c>
      <c r="D3" s="14" t="s">
        <v>17</v>
      </c>
      <c r="E3" s="14" t="s">
        <v>18</v>
      </c>
      <c r="F3" s="14" t="s">
        <v>19</v>
      </c>
      <c r="G3" s="14" t="s">
        <v>20</v>
      </c>
      <c r="H3" s="14" t="s">
        <v>21</v>
      </c>
      <c r="I3" s="50"/>
      <c r="J3" s="14" t="s">
        <v>2</v>
      </c>
      <c r="K3" s="14" t="s">
        <v>3</v>
      </c>
      <c r="L3" s="14" t="s">
        <v>10</v>
      </c>
      <c r="M3" s="14" t="s">
        <v>6</v>
      </c>
      <c r="N3" s="14" t="s">
        <v>7</v>
      </c>
      <c r="O3" s="14" t="s">
        <v>11</v>
      </c>
      <c r="P3" s="15" t="s">
        <v>13</v>
      </c>
    </row>
    <row r="4" spans="2:16" x14ac:dyDescent="0.15">
      <c r="B4" s="8" t="s">
        <v>15</v>
      </c>
      <c r="C4" s="8">
        <v>3</v>
      </c>
      <c r="D4" s="8">
        <v>3</v>
      </c>
      <c r="E4" s="8">
        <v>4</v>
      </c>
      <c r="F4" s="8">
        <v>3</v>
      </c>
      <c r="G4" s="8">
        <v>4</v>
      </c>
      <c r="H4" s="8">
        <v>3</v>
      </c>
      <c r="I4" s="9">
        <v>1</v>
      </c>
      <c r="J4" s="8">
        <v>2</v>
      </c>
      <c r="K4" s="8">
        <v>2</v>
      </c>
      <c r="L4" s="8">
        <v>1</v>
      </c>
      <c r="M4" s="8">
        <v>1</v>
      </c>
      <c r="N4" s="8">
        <v>1</v>
      </c>
      <c r="O4" s="8">
        <v>2</v>
      </c>
      <c r="P4" s="10">
        <f>SUM(C4:O4)</f>
        <v>30</v>
      </c>
    </row>
    <row r="5" spans="2:16" x14ac:dyDescent="0.15">
      <c r="B5" s="4">
        <v>11094</v>
      </c>
      <c r="C5" s="4">
        <v>1</v>
      </c>
      <c r="D5" s="4">
        <v>0</v>
      </c>
      <c r="E5" s="4">
        <v>3</v>
      </c>
      <c r="F5" s="4">
        <v>2</v>
      </c>
      <c r="G5" s="4">
        <v>4</v>
      </c>
      <c r="H5" s="4">
        <v>2</v>
      </c>
      <c r="I5" s="4">
        <v>0</v>
      </c>
      <c r="J5" s="4">
        <v>2</v>
      </c>
      <c r="K5" s="4">
        <v>2</v>
      </c>
      <c r="L5" s="4">
        <v>0.5</v>
      </c>
      <c r="M5" s="4">
        <v>0</v>
      </c>
      <c r="N5" s="4">
        <v>0</v>
      </c>
      <c r="O5" s="4">
        <v>0</v>
      </c>
      <c r="P5" s="5">
        <f>SUM(C5:O5)</f>
        <v>16.5</v>
      </c>
    </row>
    <row r="6" spans="2:16" x14ac:dyDescent="0.15">
      <c r="B6" s="2">
        <v>11088</v>
      </c>
      <c r="C6" s="2">
        <v>3</v>
      </c>
      <c r="D6" s="2">
        <v>1</v>
      </c>
      <c r="E6" s="2">
        <v>2</v>
      </c>
      <c r="F6" s="2">
        <v>3</v>
      </c>
      <c r="G6" s="2">
        <v>4</v>
      </c>
      <c r="H6" s="2">
        <v>1</v>
      </c>
      <c r="I6" s="2">
        <v>0.5</v>
      </c>
      <c r="J6" s="2">
        <v>2</v>
      </c>
      <c r="K6" s="2">
        <v>2</v>
      </c>
      <c r="L6" s="2">
        <v>0</v>
      </c>
      <c r="M6" s="2">
        <v>1</v>
      </c>
      <c r="N6" s="2">
        <v>1</v>
      </c>
      <c r="O6" s="2">
        <v>2</v>
      </c>
      <c r="P6" s="3">
        <f t="shared" ref="P6:P23" si="0">SUM(C6:O6)</f>
        <v>22.5</v>
      </c>
    </row>
    <row r="7" spans="2:16" x14ac:dyDescent="0.15">
      <c r="B7" s="2">
        <v>11064</v>
      </c>
      <c r="C7" s="2">
        <v>3</v>
      </c>
      <c r="D7" s="2">
        <v>1</v>
      </c>
      <c r="E7" s="2">
        <v>4</v>
      </c>
      <c r="F7" s="2">
        <v>1.5</v>
      </c>
      <c r="G7" s="2">
        <v>3.5</v>
      </c>
      <c r="H7" s="2">
        <v>3</v>
      </c>
      <c r="I7" s="2">
        <v>0.5</v>
      </c>
      <c r="J7" s="2">
        <v>2</v>
      </c>
      <c r="K7" s="2">
        <v>2</v>
      </c>
      <c r="L7" s="2">
        <v>0</v>
      </c>
      <c r="M7" s="2">
        <v>1</v>
      </c>
      <c r="N7" s="2">
        <v>0</v>
      </c>
      <c r="O7" s="2">
        <v>2</v>
      </c>
      <c r="P7" s="3">
        <f t="shared" si="0"/>
        <v>23.5</v>
      </c>
    </row>
    <row r="8" spans="2:16" x14ac:dyDescent="0.15">
      <c r="B8" s="2">
        <v>11059</v>
      </c>
      <c r="C8" s="2">
        <v>3</v>
      </c>
      <c r="D8" s="2">
        <v>1</v>
      </c>
      <c r="E8" s="2">
        <v>4</v>
      </c>
      <c r="F8" s="2">
        <v>2</v>
      </c>
      <c r="G8" s="2">
        <v>5</v>
      </c>
      <c r="H8" s="2">
        <v>3</v>
      </c>
      <c r="I8" s="2">
        <v>1</v>
      </c>
      <c r="J8" s="2">
        <v>2</v>
      </c>
      <c r="K8" s="2">
        <v>2</v>
      </c>
      <c r="L8" s="2">
        <v>0</v>
      </c>
      <c r="M8" s="2">
        <v>0.5</v>
      </c>
      <c r="N8" s="2">
        <v>0</v>
      </c>
      <c r="O8" s="2">
        <v>2</v>
      </c>
      <c r="P8" s="3">
        <f t="shared" si="0"/>
        <v>25.5</v>
      </c>
    </row>
    <row r="9" spans="2:16" x14ac:dyDescent="0.15">
      <c r="B9" s="2">
        <v>11085</v>
      </c>
      <c r="C9" s="2">
        <v>3</v>
      </c>
      <c r="D9" s="2">
        <v>0</v>
      </c>
      <c r="E9" s="2">
        <v>2</v>
      </c>
      <c r="F9" s="2">
        <v>2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3">
        <f t="shared" si="0"/>
        <v>8</v>
      </c>
    </row>
    <row r="10" spans="2:16" x14ac:dyDescent="0.15">
      <c r="B10" s="2">
        <v>11100</v>
      </c>
      <c r="C10" s="2">
        <v>4</v>
      </c>
      <c r="D10" s="2">
        <v>1</v>
      </c>
      <c r="E10" s="2">
        <v>3</v>
      </c>
      <c r="F10" s="2">
        <v>2.5</v>
      </c>
      <c r="G10" s="2">
        <v>4</v>
      </c>
      <c r="H10" s="2">
        <v>2.5</v>
      </c>
      <c r="I10" s="2">
        <v>0.5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3">
        <f t="shared" si="0"/>
        <v>20.5</v>
      </c>
    </row>
    <row r="11" spans="2:16" x14ac:dyDescent="0.15">
      <c r="B11" s="2">
        <v>11057</v>
      </c>
      <c r="C11" s="2">
        <v>2</v>
      </c>
      <c r="D11" s="2">
        <v>1</v>
      </c>
      <c r="E11" s="2">
        <v>0</v>
      </c>
      <c r="F11" s="2">
        <v>1</v>
      </c>
      <c r="G11" s="2">
        <v>3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3">
        <f t="shared" si="0"/>
        <v>9</v>
      </c>
    </row>
    <row r="12" spans="2:16" x14ac:dyDescent="0.15">
      <c r="B12" s="2">
        <v>11086</v>
      </c>
      <c r="C12" s="2">
        <v>3</v>
      </c>
      <c r="D12" s="2">
        <v>1</v>
      </c>
      <c r="E12" s="2">
        <v>4</v>
      </c>
      <c r="F12" s="2">
        <v>1.5</v>
      </c>
      <c r="G12" s="2">
        <v>4</v>
      </c>
      <c r="H12" s="2">
        <v>1</v>
      </c>
      <c r="I12" s="2">
        <v>0.5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0.5</v>
      </c>
      <c r="P12" s="3">
        <f t="shared" si="0"/>
        <v>17.5</v>
      </c>
    </row>
    <row r="13" spans="2:16" x14ac:dyDescent="0.15">
      <c r="B13" s="2">
        <v>11097</v>
      </c>
      <c r="C13" s="2">
        <v>2</v>
      </c>
      <c r="D13" s="2">
        <v>0</v>
      </c>
      <c r="E13" s="2">
        <v>3</v>
      </c>
      <c r="F13" s="2">
        <v>2.5</v>
      </c>
      <c r="G13" s="2">
        <v>2</v>
      </c>
      <c r="H13" s="2">
        <v>3</v>
      </c>
      <c r="I13" s="2">
        <v>1</v>
      </c>
      <c r="J13" s="2">
        <v>2</v>
      </c>
      <c r="K13" s="2">
        <v>2</v>
      </c>
      <c r="L13" s="2">
        <v>0</v>
      </c>
      <c r="M13" s="2">
        <v>0</v>
      </c>
      <c r="N13" s="2">
        <v>0</v>
      </c>
      <c r="O13" s="2">
        <v>0.5</v>
      </c>
      <c r="P13" s="3">
        <f t="shared" si="0"/>
        <v>18</v>
      </c>
    </row>
    <row r="14" spans="2:16" x14ac:dyDescent="0.15">
      <c r="B14" s="2">
        <v>11360</v>
      </c>
      <c r="C14" s="2">
        <v>3</v>
      </c>
      <c r="D14" s="2">
        <v>1</v>
      </c>
      <c r="E14" s="2">
        <v>2</v>
      </c>
      <c r="F14" s="2">
        <v>3</v>
      </c>
      <c r="G14" s="2">
        <v>4</v>
      </c>
      <c r="H14" s="2">
        <v>3</v>
      </c>
      <c r="I14" s="2">
        <v>1</v>
      </c>
      <c r="J14" s="2">
        <v>2</v>
      </c>
      <c r="K14" s="2">
        <v>2</v>
      </c>
      <c r="L14" s="2">
        <v>0</v>
      </c>
      <c r="M14" s="2">
        <v>0.5</v>
      </c>
      <c r="N14" s="2">
        <v>0</v>
      </c>
      <c r="O14" s="2">
        <v>2</v>
      </c>
      <c r="P14" s="3">
        <f t="shared" si="0"/>
        <v>23.5</v>
      </c>
    </row>
    <row r="15" spans="2:16" x14ac:dyDescent="0.15">
      <c r="B15" s="2">
        <v>11067</v>
      </c>
      <c r="C15" s="2">
        <v>2</v>
      </c>
      <c r="D15" s="2">
        <v>2</v>
      </c>
      <c r="E15" s="2">
        <v>2</v>
      </c>
      <c r="F15" s="2">
        <v>2.5</v>
      </c>
      <c r="G15" s="2">
        <v>3</v>
      </c>
      <c r="H15" s="2">
        <v>0</v>
      </c>
      <c r="I15" s="2">
        <v>0.5</v>
      </c>
      <c r="J15" s="2">
        <v>0</v>
      </c>
      <c r="K15" s="2">
        <v>2</v>
      </c>
      <c r="L15" s="2">
        <v>1</v>
      </c>
      <c r="M15" s="2">
        <v>1</v>
      </c>
      <c r="N15" s="2">
        <v>0</v>
      </c>
      <c r="O15" s="2">
        <v>2</v>
      </c>
      <c r="P15" s="3">
        <f t="shared" si="0"/>
        <v>18</v>
      </c>
    </row>
    <row r="16" spans="2:16" x14ac:dyDescent="0.15">
      <c r="B16" s="2">
        <v>11090</v>
      </c>
      <c r="C16" s="2">
        <v>2</v>
      </c>
      <c r="D16" s="2">
        <v>2</v>
      </c>
      <c r="E16" s="2">
        <v>3</v>
      </c>
      <c r="F16" s="2">
        <v>2</v>
      </c>
      <c r="G16" s="2">
        <v>4</v>
      </c>
      <c r="H16" s="2">
        <v>3</v>
      </c>
      <c r="I16" s="2">
        <v>0.5</v>
      </c>
      <c r="J16" s="2">
        <v>2</v>
      </c>
      <c r="K16" s="2">
        <v>2</v>
      </c>
      <c r="L16" s="2">
        <v>0.5</v>
      </c>
      <c r="M16" s="2">
        <v>1</v>
      </c>
      <c r="N16" s="2">
        <v>0.5</v>
      </c>
      <c r="O16" s="2">
        <v>1</v>
      </c>
      <c r="P16" s="3">
        <f t="shared" si="0"/>
        <v>23.5</v>
      </c>
    </row>
    <row r="17" spans="1:16" x14ac:dyDescent="0.15">
      <c r="B17" s="2">
        <v>11082</v>
      </c>
      <c r="C17" s="2">
        <v>3</v>
      </c>
      <c r="D17" s="2">
        <v>3</v>
      </c>
      <c r="E17" s="2">
        <v>2</v>
      </c>
      <c r="F17" s="2">
        <v>1.5</v>
      </c>
      <c r="G17" s="2">
        <v>4</v>
      </c>
      <c r="H17" s="2">
        <v>3</v>
      </c>
      <c r="I17" s="2">
        <v>1</v>
      </c>
      <c r="J17" s="2">
        <v>2</v>
      </c>
      <c r="K17" s="2">
        <v>0</v>
      </c>
      <c r="L17" s="2">
        <v>0</v>
      </c>
      <c r="M17" s="2">
        <v>0</v>
      </c>
      <c r="N17" s="2">
        <v>0.5</v>
      </c>
      <c r="O17" s="2">
        <v>1</v>
      </c>
      <c r="P17" s="3">
        <f t="shared" si="0"/>
        <v>21</v>
      </c>
    </row>
    <row r="18" spans="1:16" x14ac:dyDescent="0.15">
      <c r="B18" s="2">
        <v>11435</v>
      </c>
      <c r="C18" s="2">
        <v>3</v>
      </c>
      <c r="D18" s="2">
        <v>1</v>
      </c>
      <c r="E18" s="2">
        <v>4</v>
      </c>
      <c r="F18" s="2">
        <v>2.5</v>
      </c>
      <c r="G18" s="2">
        <v>4</v>
      </c>
      <c r="H18" s="2">
        <v>3</v>
      </c>
      <c r="I18" s="2">
        <v>0</v>
      </c>
      <c r="J18" s="2">
        <v>2</v>
      </c>
      <c r="K18" s="2">
        <v>2</v>
      </c>
      <c r="L18" s="2">
        <v>1</v>
      </c>
      <c r="M18" s="2">
        <v>1</v>
      </c>
      <c r="N18" s="2">
        <v>0</v>
      </c>
      <c r="O18" s="2">
        <v>1</v>
      </c>
      <c r="P18" s="3">
        <f t="shared" si="0"/>
        <v>24.5</v>
      </c>
    </row>
    <row r="19" spans="1:16" x14ac:dyDescent="0.15">
      <c r="B19" s="2">
        <v>11073</v>
      </c>
      <c r="C19" s="2">
        <v>2</v>
      </c>
      <c r="D19" s="2">
        <v>0</v>
      </c>
      <c r="E19" s="2">
        <v>4</v>
      </c>
      <c r="F19" s="2">
        <v>1.5</v>
      </c>
      <c r="G19" s="2">
        <v>4</v>
      </c>
      <c r="H19" s="2">
        <v>3</v>
      </c>
      <c r="I19" s="2">
        <v>0.5</v>
      </c>
      <c r="J19" s="2">
        <v>2</v>
      </c>
      <c r="K19" s="2">
        <v>2</v>
      </c>
      <c r="L19" s="2">
        <v>0</v>
      </c>
      <c r="M19" s="2">
        <v>0</v>
      </c>
      <c r="N19" s="2">
        <v>0</v>
      </c>
      <c r="O19" s="2">
        <v>1</v>
      </c>
      <c r="P19" s="3">
        <f t="shared" si="0"/>
        <v>20</v>
      </c>
    </row>
    <row r="20" spans="1:16" x14ac:dyDescent="0.15">
      <c r="B20" s="2">
        <v>11025</v>
      </c>
      <c r="C20" s="2">
        <v>3</v>
      </c>
      <c r="D20" s="2">
        <v>1</v>
      </c>
      <c r="E20" s="2">
        <v>4</v>
      </c>
      <c r="F20" s="2">
        <v>3</v>
      </c>
      <c r="G20" s="2">
        <v>4</v>
      </c>
      <c r="H20" s="2">
        <v>3</v>
      </c>
      <c r="I20" s="2">
        <v>0.5</v>
      </c>
      <c r="J20" s="2">
        <v>2</v>
      </c>
      <c r="K20" s="2">
        <v>2</v>
      </c>
      <c r="L20" s="2">
        <v>0</v>
      </c>
      <c r="M20" s="2">
        <v>0</v>
      </c>
      <c r="N20" s="2">
        <v>1</v>
      </c>
      <c r="O20" s="2">
        <v>1</v>
      </c>
      <c r="P20" s="3">
        <f t="shared" si="0"/>
        <v>24.5</v>
      </c>
    </row>
    <row r="21" spans="1:16" x14ac:dyDescent="0.15">
      <c r="B21" s="2">
        <v>11111</v>
      </c>
      <c r="C21" s="2">
        <v>2</v>
      </c>
      <c r="D21" s="2">
        <v>2</v>
      </c>
      <c r="E21" s="2">
        <v>4</v>
      </c>
      <c r="F21" s="2">
        <v>3</v>
      </c>
      <c r="G21" s="2">
        <v>4</v>
      </c>
      <c r="H21" s="2">
        <v>3</v>
      </c>
      <c r="I21" s="2">
        <v>1</v>
      </c>
      <c r="J21" s="2">
        <v>0</v>
      </c>
      <c r="K21" s="2">
        <v>1</v>
      </c>
      <c r="L21" s="2">
        <v>1</v>
      </c>
      <c r="M21" s="2">
        <v>0</v>
      </c>
      <c r="N21" s="2">
        <v>1</v>
      </c>
      <c r="O21" s="2">
        <v>2</v>
      </c>
      <c r="P21" s="3">
        <f t="shared" si="0"/>
        <v>24</v>
      </c>
    </row>
    <row r="22" spans="1:16" x14ac:dyDescent="0.15">
      <c r="B22" s="2">
        <v>11070</v>
      </c>
      <c r="C22" s="2">
        <v>0</v>
      </c>
      <c r="D22" s="2">
        <v>0</v>
      </c>
      <c r="E22" s="2">
        <v>1</v>
      </c>
      <c r="F22" s="2">
        <v>2.5</v>
      </c>
      <c r="G22" s="2">
        <v>4</v>
      </c>
      <c r="H22" s="2">
        <v>2</v>
      </c>
      <c r="I22" s="2">
        <v>0.5</v>
      </c>
      <c r="J22" s="2">
        <v>2</v>
      </c>
      <c r="K22" s="2">
        <v>2</v>
      </c>
      <c r="L22" s="2">
        <v>0</v>
      </c>
      <c r="M22" s="2">
        <v>1</v>
      </c>
      <c r="N22" s="2">
        <v>1</v>
      </c>
      <c r="O22" s="2">
        <v>2</v>
      </c>
      <c r="P22" s="3">
        <f t="shared" si="0"/>
        <v>18</v>
      </c>
    </row>
    <row r="23" spans="1:16" x14ac:dyDescent="0.15">
      <c r="B23" s="2">
        <v>11075</v>
      </c>
      <c r="C23" s="2">
        <v>3</v>
      </c>
      <c r="D23" s="2">
        <v>0</v>
      </c>
      <c r="E23" s="2">
        <v>4</v>
      </c>
      <c r="F23" s="2">
        <v>2</v>
      </c>
      <c r="G23" s="2">
        <v>0</v>
      </c>
      <c r="H23" s="2">
        <v>1</v>
      </c>
      <c r="I23" s="2">
        <v>0.5</v>
      </c>
      <c r="J23" s="2">
        <v>0</v>
      </c>
      <c r="K23" s="2">
        <v>2</v>
      </c>
      <c r="L23" s="2">
        <v>1</v>
      </c>
      <c r="M23" s="2">
        <v>1</v>
      </c>
      <c r="N23" s="2">
        <v>0.5</v>
      </c>
      <c r="O23" s="2">
        <v>2</v>
      </c>
      <c r="P23" s="3">
        <f t="shared" si="0"/>
        <v>17</v>
      </c>
    </row>
    <row r="24" spans="1:16" x14ac:dyDescent="0.15">
      <c r="P24" s="7"/>
    </row>
    <row r="25" spans="1:16" x14ac:dyDescent="0.15">
      <c r="A25" t="s">
        <v>23</v>
      </c>
      <c r="B25">
        <f>COUNT(B5:B23)</f>
        <v>19</v>
      </c>
    </row>
    <row r="26" spans="1:16" x14ac:dyDescent="0.15">
      <c r="A26" s="2" t="s">
        <v>14</v>
      </c>
      <c r="B26" s="2"/>
      <c r="C26" s="2">
        <f t="shared" ref="C26:O26" si="1">SUM(C5:C23)/($B$25*C4)</f>
        <v>0.82456140350877194</v>
      </c>
      <c r="D26" s="40">
        <f t="shared" si="1"/>
        <v>0.31578947368421051</v>
      </c>
      <c r="E26" s="2">
        <f t="shared" si="1"/>
        <v>0.72368421052631582</v>
      </c>
      <c r="F26" s="2">
        <f t="shared" si="1"/>
        <v>0.72807017543859653</v>
      </c>
      <c r="G26" s="2">
        <f t="shared" si="1"/>
        <v>0.86184210526315785</v>
      </c>
      <c r="H26" s="2">
        <f t="shared" si="1"/>
        <v>0.69298245614035092</v>
      </c>
      <c r="I26" s="2">
        <f t="shared" si="1"/>
        <v>0.52631578947368418</v>
      </c>
      <c r="J26" s="2">
        <f t="shared" si="1"/>
        <v>0.68421052631578949</v>
      </c>
      <c r="K26" s="2">
        <f t="shared" si="1"/>
        <v>0.76315789473684215</v>
      </c>
      <c r="L26" s="40">
        <f t="shared" si="1"/>
        <v>0.31578947368421051</v>
      </c>
      <c r="M26" s="41">
        <f t="shared" si="1"/>
        <v>0.42105263157894735</v>
      </c>
      <c r="N26" s="40">
        <f t="shared" si="1"/>
        <v>0.34210526315789475</v>
      </c>
      <c r="O26" s="2">
        <f t="shared" si="1"/>
        <v>0.60526315789473684</v>
      </c>
    </row>
    <row r="27" spans="1:16" ht="14.25" x14ac:dyDescent="0.2">
      <c r="A27" s="37" t="s">
        <v>67</v>
      </c>
      <c r="B27" s="38">
        <f>AVERAGE(C26:O26)</f>
        <v>0.60037112010796223</v>
      </c>
      <c r="C27" s="51" t="s">
        <v>68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</row>
    <row r="28" spans="1:16" ht="14.25" x14ac:dyDescent="0.2">
      <c r="A28" s="39" t="s">
        <v>27</v>
      </c>
      <c r="B28" s="38">
        <v>2.16</v>
      </c>
      <c r="C28" s="45" t="s">
        <v>34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</row>
    <row r="30" spans="1:16" ht="14.25" x14ac:dyDescent="0.2">
      <c r="A30" s="37" t="s">
        <v>69</v>
      </c>
      <c r="B30" s="39" t="s">
        <v>72</v>
      </c>
      <c r="C30" s="33"/>
    </row>
    <row r="31" spans="1:16" ht="14.25" x14ac:dyDescent="0.2">
      <c r="A31" s="39" t="s">
        <v>71</v>
      </c>
      <c r="B31" s="39" t="s">
        <v>73</v>
      </c>
    </row>
    <row r="32" spans="1:16" ht="14.25" x14ac:dyDescent="0.2">
      <c r="A32" s="16"/>
      <c r="B32" s="16"/>
    </row>
    <row r="33" spans="1:5" ht="14.25" x14ac:dyDescent="0.2">
      <c r="A33" s="39" t="s">
        <v>75</v>
      </c>
      <c r="B33" s="2">
        <f>120/30</f>
        <v>4</v>
      </c>
      <c r="C33" s="45" t="s">
        <v>76</v>
      </c>
      <c r="D33" s="45"/>
      <c r="E33" s="2"/>
    </row>
    <row r="34" spans="1:5" ht="36.75" x14ac:dyDescent="0.2">
      <c r="A34" s="46" t="s">
        <v>92</v>
      </c>
      <c r="B34" s="34" t="s">
        <v>93</v>
      </c>
      <c r="C34" s="34" t="s">
        <v>94</v>
      </c>
      <c r="D34" s="34" t="s">
        <v>95</v>
      </c>
      <c r="E34" s="34" t="s">
        <v>96</v>
      </c>
    </row>
    <row r="35" spans="1:5" ht="14.25" x14ac:dyDescent="0.2">
      <c r="A35" s="46"/>
      <c r="B35" s="35" t="s">
        <v>77</v>
      </c>
      <c r="C35" s="35">
        <v>6</v>
      </c>
      <c r="D35" s="35" t="s">
        <v>78</v>
      </c>
      <c r="E35" s="35">
        <v>4.2</v>
      </c>
    </row>
    <row r="36" spans="1:5" ht="14.25" x14ac:dyDescent="0.2">
      <c r="A36" s="46"/>
      <c r="B36" s="35" t="s">
        <v>79</v>
      </c>
      <c r="C36" s="35">
        <v>4</v>
      </c>
      <c r="D36" s="35" t="s">
        <v>80</v>
      </c>
      <c r="E36" s="35">
        <v>3.8</v>
      </c>
    </row>
    <row r="37" spans="1:5" ht="14.25" x14ac:dyDescent="0.2">
      <c r="A37" s="46"/>
      <c r="B37" s="35" t="s">
        <v>81</v>
      </c>
      <c r="C37" s="35">
        <v>3</v>
      </c>
      <c r="D37" s="35" t="s">
        <v>82</v>
      </c>
      <c r="E37" s="35">
        <v>3.3</v>
      </c>
    </row>
    <row r="38" spans="1:5" ht="14.25" x14ac:dyDescent="0.2">
      <c r="A38" s="46"/>
      <c r="B38" s="35" t="s">
        <v>83</v>
      </c>
      <c r="C38" s="35">
        <v>7</v>
      </c>
      <c r="D38" s="35" t="s">
        <v>84</v>
      </c>
      <c r="E38" s="35">
        <v>4.3</v>
      </c>
    </row>
    <row r="39" spans="1:5" ht="14.25" x14ac:dyDescent="0.2">
      <c r="A39" s="46"/>
      <c r="B39" s="35" t="s">
        <v>8</v>
      </c>
      <c r="C39" s="35">
        <v>1</v>
      </c>
      <c r="D39" s="35" t="s">
        <v>85</v>
      </c>
      <c r="E39" s="35">
        <v>5</v>
      </c>
    </row>
    <row r="40" spans="1:5" ht="14.25" x14ac:dyDescent="0.2">
      <c r="A40" s="46"/>
      <c r="B40" s="35" t="s">
        <v>86</v>
      </c>
      <c r="C40" s="35">
        <v>5</v>
      </c>
      <c r="D40" s="35" t="s">
        <v>87</v>
      </c>
      <c r="E40" s="35">
        <v>4</v>
      </c>
    </row>
    <row r="41" spans="1:5" ht="14.25" x14ac:dyDescent="0.2">
      <c r="A41" s="46"/>
      <c r="B41" s="35" t="s">
        <v>88</v>
      </c>
      <c r="C41" s="35">
        <v>2</v>
      </c>
      <c r="D41" s="35" t="s">
        <v>89</v>
      </c>
      <c r="E41" s="35">
        <v>4</v>
      </c>
    </row>
    <row r="42" spans="1:5" ht="14.25" x14ac:dyDescent="0.2">
      <c r="A42" s="46"/>
      <c r="B42" s="35" t="s">
        <v>90</v>
      </c>
      <c r="C42" s="35">
        <v>2</v>
      </c>
      <c r="D42" s="35" t="s">
        <v>91</v>
      </c>
      <c r="E42" s="35">
        <v>3.5</v>
      </c>
    </row>
    <row r="43" spans="1:5" x14ac:dyDescent="0.15">
      <c r="A43" s="31"/>
      <c r="E43">
        <f>AVERAGE(E35:E42)</f>
        <v>4.0125000000000002</v>
      </c>
    </row>
  </sheetData>
  <mergeCells count="8">
    <mergeCell ref="C28:O28"/>
    <mergeCell ref="C33:D33"/>
    <mergeCell ref="A34:A42"/>
    <mergeCell ref="C2:E2"/>
    <mergeCell ref="F2:H2"/>
    <mergeCell ref="I2:I3"/>
    <mergeCell ref="J2:O2"/>
    <mergeCell ref="C27:O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4610-CCDD-4052-A1DD-9552379086E1}">
  <dimension ref="A3:C35"/>
  <sheetViews>
    <sheetView topLeftCell="A15" workbookViewId="0">
      <selection activeCell="B33" sqref="B33"/>
    </sheetView>
  </sheetViews>
  <sheetFormatPr defaultRowHeight="13.5" x14ac:dyDescent="0.15"/>
  <cols>
    <col min="1" max="1" width="35.671875" customWidth="1"/>
    <col min="2" max="2" width="49.03515625" customWidth="1"/>
    <col min="3" max="3" width="9.8046875" customWidth="1"/>
  </cols>
  <sheetData>
    <row r="3" spans="1:3" ht="29.25" x14ac:dyDescent="0.15">
      <c r="A3" s="54" t="s">
        <v>14</v>
      </c>
      <c r="B3" s="17" t="s">
        <v>24</v>
      </c>
    </row>
    <row r="4" spans="1:3" ht="29.25" x14ac:dyDescent="0.15">
      <c r="A4" s="54"/>
      <c r="B4" s="17" t="s">
        <v>25</v>
      </c>
    </row>
    <row r="5" spans="1:3" ht="16.5" x14ac:dyDescent="0.15">
      <c r="A5" s="54"/>
      <c r="B5" s="17" t="s">
        <v>26</v>
      </c>
    </row>
    <row r="8" spans="1:3" ht="16.5" x14ac:dyDescent="0.15">
      <c r="A8" s="55" t="s">
        <v>31</v>
      </c>
      <c r="B8" s="17" t="s">
        <v>28</v>
      </c>
    </row>
    <row r="9" spans="1:3" ht="16.5" x14ac:dyDescent="0.15">
      <c r="A9" s="55"/>
      <c r="B9" s="17" t="s">
        <v>29</v>
      </c>
    </row>
    <row r="10" spans="1:3" ht="56.25" x14ac:dyDescent="0.15">
      <c r="A10" s="55"/>
      <c r="B10" s="17" t="s">
        <v>30</v>
      </c>
    </row>
    <row r="13" spans="1:3" ht="16.5" x14ac:dyDescent="0.15">
      <c r="A13" s="30" t="s">
        <v>35</v>
      </c>
    </row>
    <row r="14" spans="1:3" ht="24.75" x14ac:dyDescent="0.2">
      <c r="A14" s="26" t="s">
        <v>36</v>
      </c>
      <c r="B14" s="26" t="s">
        <v>37</v>
      </c>
      <c r="C14" s="26" t="s">
        <v>38</v>
      </c>
    </row>
    <row r="15" spans="1:3" ht="14.25" x14ac:dyDescent="0.2">
      <c r="A15" s="27" t="s">
        <v>39</v>
      </c>
      <c r="B15" s="28" t="s">
        <v>40</v>
      </c>
      <c r="C15" s="28" t="s">
        <v>41</v>
      </c>
    </row>
    <row r="16" spans="1:3" ht="14.25" x14ac:dyDescent="0.2">
      <c r="A16" s="27" t="s">
        <v>42</v>
      </c>
      <c r="B16" s="28" t="s">
        <v>43</v>
      </c>
      <c r="C16" s="28" t="s">
        <v>44</v>
      </c>
    </row>
    <row r="17" spans="1:3" ht="14.25" x14ac:dyDescent="0.2">
      <c r="A17" s="27" t="s">
        <v>45</v>
      </c>
      <c r="B17" s="28" t="s">
        <v>46</v>
      </c>
      <c r="C17" s="28" t="s">
        <v>47</v>
      </c>
    </row>
    <row r="18" spans="1:3" ht="14.25" x14ac:dyDescent="0.2">
      <c r="A18" s="27" t="s">
        <v>48</v>
      </c>
      <c r="B18" s="28" t="s">
        <v>49</v>
      </c>
      <c r="C18" s="28" t="s">
        <v>50</v>
      </c>
    </row>
    <row r="19" spans="1:3" ht="14.25" x14ac:dyDescent="0.2">
      <c r="A19" s="27" t="s">
        <v>51</v>
      </c>
      <c r="B19" s="28" t="s">
        <v>52</v>
      </c>
      <c r="C19" s="28" t="s">
        <v>53</v>
      </c>
    </row>
    <row r="20" spans="1:3" ht="14.25" x14ac:dyDescent="0.2">
      <c r="A20" s="27" t="s">
        <v>54</v>
      </c>
      <c r="B20" s="28" t="s">
        <v>55</v>
      </c>
      <c r="C20" s="28" t="s">
        <v>56</v>
      </c>
    </row>
    <row r="23" spans="1:3" ht="16.5" x14ac:dyDescent="0.15">
      <c r="A23" s="30" t="s">
        <v>57</v>
      </c>
    </row>
    <row r="24" spans="1:3" ht="29.25" x14ac:dyDescent="0.15">
      <c r="A24" s="17"/>
      <c r="B24" s="29" t="s">
        <v>58</v>
      </c>
    </row>
    <row r="25" spans="1:3" ht="29.25" x14ac:dyDescent="0.15">
      <c r="A25" s="17"/>
      <c r="B25" s="29" t="s">
        <v>59</v>
      </c>
    </row>
    <row r="26" spans="1:3" ht="16.5" x14ac:dyDescent="0.15">
      <c r="A26" s="17"/>
      <c r="B26" s="29" t="s">
        <v>60</v>
      </c>
    </row>
    <row r="27" spans="1:3" ht="29.25" x14ac:dyDescent="0.15">
      <c r="A27" s="17"/>
      <c r="B27" s="29" t="s">
        <v>61</v>
      </c>
    </row>
    <row r="28" spans="1:3" ht="29.25" x14ac:dyDescent="0.15">
      <c r="A28" s="17"/>
      <c r="B28" s="29" t="s">
        <v>62</v>
      </c>
    </row>
    <row r="29" spans="1:3" ht="16.5" x14ac:dyDescent="0.15">
      <c r="A29" s="30" t="s">
        <v>63</v>
      </c>
    </row>
    <row r="30" spans="1:3" ht="29.25" x14ac:dyDescent="0.15">
      <c r="B30" s="29" t="s">
        <v>64</v>
      </c>
    </row>
    <row r="31" spans="1:3" ht="27" x14ac:dyDescent="0.2">
      <c r="B31" s="29" t="s">
        <v>65</v>
      </c>
    </row>
    <row r="32" spans="1:3" ht="27" x14ac:dyDescent="0.2">
      <c r="B32" s="29" t="s">
        <v>66</v>
      </c>
    </row>
    <row r="34" spans="1:2" ht="40.5" x14ac:dyDescent="0.2">
      <c r="A34" s="31" t="s">
        <v>69</v>
      </c>
      <c r="B34" s="32" t="s">
        <v>70</v>
      </c>
    </row>
    <row r="35" spans="1:2" ht="54" x14ac:dyDescent="0.2">
      <c r="A35" s="16" t="s">
        <v>71</v>
      </c>
      <c r="B35" s="32" t="s">
        <v>74</v>
      </c>
    </row>
  </sheetData>
  <mergeCells count="2">
    <mergeCell ref="A3:A5"/>
    <mergeCell ref="A8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53AD-70BB-49CD-A786-C54B0075E971}">
  <dimension ref="A1:N14"/>
  <sheetViews>
    <sheetView workbookViewId="0">
      <selection activeCell="G22" sqref="G22"/>
    </sheetView>
  </sheetViews>
  <sheetFormatPr defaultRowHeight="13.5" x14ac:dyDescent="0.15"/>
  <sheetData>
    <row r="1" spans="1:14" x14ac:dyDescent="0.15">
      <c r="A1" s="42"/>
      <c r="B1" s="42" t="s">
        <v>98</v>
      </c>
      <c r="C1" s="42" t="s">
        <v>99</v>
      </c>
      <c r="D1" s="42" t="s">
        <v>100</v>
      </c>
      <c r="E1" s="42" t="s">
        <v>101</v>
      </c>
      <c r="F1" s="42" t="s">
        <v>102</v>
      </c>
      <c r="G1" s="42" t="s">
        <v>103</v>
      </c>
      <c r="H1" s="42" t="s">
        <v>8</v>
      </c>
      <c r="I1" s="42" t="s">
        <v>104</v>
      </c>
      <c r="J1" s="42" t="s">
        <v>105</v>
      </c>
      <c r="K1" s="42" t="s">
        <v>106</v>
      </c>
      <c r="L1" s="42" t="s">
        <v>107</v>
      </c>
      <c r="M1" s="42" t="s">
        <v>108</v>
      </c>
      <c r="N1" s="42" t="s">
        <v>55</v>
      </c>
    </row>
    <row r="2" spans="1:14" x14ac:dyDescent="0.15">
      <c r="A2" s="43" t="s">
        <v>98</v>
      </c>
      <c r="B2" s="43">
        <v>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x14ac:dyDescent="0.15">
      <c r="A3" s="43" t="s">
        <v>99</v>
      </c>
      <c r="B3" s="43">
        <v>0.32772902988454</v>
      </c>
      <c r="C3" s="43">
        <v>1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 x14ac:dyDescent="0.15">
      <c r="A4" s="43" t="s">
        <v>100</v>
      </c>
      <c r="B4" s="43">
        <v>0.33745637076619067</v>
      </c>
      <c r="C4" s="43">
        <v>8.6553321190653218E-2</v>
      </c>
      <c r="D4" s="43">
        <v>1</v>
      </c>
      <c r="E4" s="43"/>
      <c r="F4" s="43"/>
      <c r="G4" s="43"/>
      <c r="H4" s="43"/>
      <c r="I4" s="43"/>
      <c r="J4" s="43"/>
      <c r="K4" s="43"/>
      <c r="L4" s="43"/>
      <c r="M4" s="43"/>
      <c r="N4" s="43"/>
    </row>
    <row r="5" spans="1:14" x14ac:dyDescent="0.15">
      <c r="A5" s="43" t="s">
        <v>101</v>
      </c>
      <c r="B5" s="43">
        <v>0.27246083182737696</v>
      </c>
      <c r="C5" s="43">
        <v>0.2674474498400532</v>
      </c>
      <c r="D5" s="43">
        <v>0.12471510694083442</v>
      </c>
      <c r="E5" s="43">
        <v>1</v>
      </c>
      <c r="F5" s="43"/>
      <c r="G5" s="43"/>
      <c r="H5" s="43"/>
      <c r="I5" s="43"/>
      <c r="J5" s="43"/>
      <c r="K5" s="43"/>
      <c r="L5" s="43"/>
      <c r="M5" s="43"/>
      <c r="N5" s="43"/>
    </row>
    <row r="6" spans="1:14" x14ac:dyDescent="0.15">
      <c r="A6" s="43" t="s">
        <v>102</v>
      </c>
      <c r="B6" s="43">
        <v>0.32679543396710969</v>
      </c>
      <c r="C6" s="43">
        <v>0.51864394761297627</v>
      </c>
      <c r="D6" s="43">
        <v>0.20202731962067633</v>
      </c>
      <c r="E6" s="44">
        <v>0.52464096263252602</v>
      </c>
      <c r="F6" s="43">
        <v>1</v>
      </c>
      <c r="G6" s="43"/>
      <c r="H6" s="43"/>
      <c r="I6" s="43"/>
      <c r="J6" s="43"/>
      <c r="K6" s="43"/>
      <c r="L6" s="43"/>
      <c r="M6" s="43"/>
      <c r="N6" s="43"/>
    </row>
    <row r="7" spans="1:14" x14ac:dyDescent="0.15">
      <c r="A7" s="43" t="s">
        <v>103</v>
      </c>
      <c r="B7" s="43">
        <v>0.16619699125826964</v>
      </c>
      <c r="C7" s="43">
        <v>0.16702319663715015</v>
      </c>
      <c r="D7" s="43">
        <v>0.36145942293244632</v>
      </c>
      <c r="E7" s="44">
        <v>0.52639437033883041</v>
      </c>
      <c r="F7" s="44">
        <v>0.59758511722539187</v>
      </c>
      <c r="G7" s="43">
        <v>1</v>
      </c>
      <c r="H7" s="43"/>
      <c r="I7" s="43"/>
      <c r="J7" s="43"/>
      <c r="K7" s="43"/>
      <c r="L7" s="43"/>
      <c r="M7" s="43"/>
      <c r="N7" s="43"/>
    </row>
    <row r="8" spans="1:14" x14ac:dyDescent="0.15">
      <c r="A8" s="43" t="s">
        <v>8</v>
      </c>
      <c r="B8" s="43">
        <v>0.1637040239095201</v>
      </c>
      <c r="C8" s="43">
        <v>0.2583060856780286</v>
      </c>
      <c r="D8" s="43">
        <v>0.43426427205012591</v>
      </c>
      <c r="E8" s="43">
        <v>0.27148844060632427</v>
      </c>
      <c r="F8" s="43">
        <v>0.25784761234988268</v>
      </c>
      <c r="G8" s="44">
        <v>0.43732920163315536</v>
      </c>
      <c r="H8" s="43">
        <v>1</v>
      </c>
      <c r="I8" s="43"/>
      <c r="J8" s="43"/>
      <c r="K8" s="43"/>
      <c r="L8" s="43"/>
      <c r="M8" s="43"/>
      <c r="N8" s="43"/>
    </row>
    <row r="9" spans="1:14" x14ac:dyDescent="0.15">
      <c r="A9" s="43" t="s">
        <v>104</v>
      </c>
      <c r="B9" s="43">
        <v>-5.6267639977716456E-3</v>
      </c>
      <c r="C9" s="43">
        <v>-8.7961779310804081E-2</v>
      </c>
      <c r="D9" s="43">
        <v>0.26994954378308322</v>
      </c>
      <c r="E9" s="43">
        <v>9.0781183388133499E-2</v>
      </c>
      <c r="F9" s="43">
        <v>0.27251703817325973</v>
      </c>
      <c r="G9" s="44">
        <v>0.55305883801564037</v>
      </c>
      <c r="H9" s="43">
        <v>0.28356543640780035</v>
      </c>
      <c r="I9" s="43">
        <v>1</v>
      </c>
      <c r="J9" s="43"/>
      <c r="K9" s="43"/>
      <c r="L9" s="43"/>
      <c r="M9" s="43"/>
      <c r="N9" s="43"/>
    </row>
    <row r="10" spans="1:14" x14ac:dyDescent="0.15">
      <c r="A10" s="43" t="s">
        <v>105</v>
      </c>
      <c r="B10" s="43">
        <v>6.8678812798838251E-2</v>
      </c>
      <c r="C10" s="43">
        <v>-7.5493941373482726E-2</v>
      </c>
      <c r="D10" s="43">
        <v>0.27056260780746705</v>
      </c>
      <c r="E10" s="43">
        <v>0.14103836765471298</v>
      </c>
      <c r="F10" s="43">
        <v>0.21261334669805507</v>
      </c>
      <c r="G10" s="43">
        <v>0.36357586976485873</v>
      </c>
      <c r="H10" s="43">
        <v>0.10907790108792492</v>
      </c>
      <c r="I10" s="44">
        <v>0.48481821975777301</v>
      </c>
      <c r="J10" s="43">
        <v>1</v>
      </c>
      <c r="K10" s="43"/>
      <c r="L10" s="43"/>
      <c r="M10" s="43"/>
      <c r="N10" s="43"/>
    </row>
    <row r="11" spans="1:14" x14ac:dyDescent="0.15">
      <c r="A11" s="43" t="s">
        <v>106</v>
      </c>
      <c r="B11" s="43">
        <v>9.209212337247924E-2</v>
      </c>
      <c r="C11" s="43">
        <v>3.4291624462732977E-2</v>
      </c>
      <c r="D11" s="43">
        <v>8.1277090172601291E-2</v>
      </c>
      <c r="E11" s="43">
        <v>4.2873324970653694E-2</v>
      </c>
      <c r="F11" s="43">
        <v>-7.89421588555798E-2</v>
      </c>
      <c r="G11" s="43">
        <v>-0.18437554656190519</v>
      </c>
      <c r="H11" s="43">
        <v>-0.22581757242768039</v>
      </c>
      <c r="I11" s="43">
        <v>-0.23839519605040899</v>
      </c>
      <c r="J11" s="43">
        <v>-7.0891882553898555E-2</v>
      </c>
      <c r="K11" s="43">
        <v>1</v>
      </c>
      <c r="L11" s="43"/>
      <c r="M11" s="43"/>
      <c r="N11" s="43"/>
    </row>
    <row r="12" spans="1:14" x14ac:dyDescent="0.15">
      <c r="A12" s="43" t="s">
        <v>107</v>
      </c>
      <c r="B12" s="43">
        <v>-1.6329427798251566E-2</v>
      </c>
      <c r="C12" s="43">
        <v>0.10583995140135466</v>
      </c>
      <c r="D12" s="43">
        <v>0.14019691823983976</v>
      </c>
      <c r="E12" s="43">
        <v>0.14166010241712676</v>
      </c>
      <c r="F12" s="43">
        <v>0.25883067363345802</v>
      </c>
      <c r="G12" s="43">
        <v>0.11149476035387478</v>
      </c>
      <c r="H12" s="43">
        <v>4.7879857537850748E-2</v>
      </c>
      <c r="I12" s="43">
        <v>0.27098041789538363</v>
      </c>
      <c r="J12" s="43">
        <v>0.49304590155480998</v>
      </c>
      <c r="K12" s="43">
        <v>0.22817771358108441</v>
      </c>
      <c r="L12" s="43">
        <v>1</v>
      </c>
      <c r="M12" s="43"/>
      <c r="N12" s="43"/>
    </row>
    <row r="13" spans="1:14" x14ac:dyDescent="0.15">
      <c r="A13" s="43" t="s">
        <v>108</v>
      </c>
      <c r="B13" s="43">
        <v>-6.8024259736212539E-2</v>
      </c>
      <c r="C13" s="43">
        <v>0.26038540861749532</v>
      </c>
      <c r="D13" s="43">
        <v>0.10214594583768224</v>
      </c>
      <c r="E13" s="43">
        <v>0.13523585675289518</v>
      </c>
      <c r="F13" s="43">
        <v>0.2705349107575179</v>
      </c>
      <c r="G13" s="43">
        <v>2.9595096356132073E-2</v>
      </c>
      <c r="H13" s="43">
        <v>1.4959151840135316E-2</v>
      </c>
      <c r="I13" s="43">
        <v>-2.8922034680716946E-3</v>
      </c>
      <c r="J13" s="43">
        <v>5.6034096317909711E-2</v>
      </c>
      <c r="K13" s="43">
        <v>0.21782991866822171</v>
      </c>
      <c r="L13" s="43">
        <v>0.33980802230622231</v>
      </c>
      <c r="M13" s="43">
        <v>1</v>
      </c>
      <c r="N13" s="43"/>
    </row>
    <row r="14" spans="1:14" x14ac:dyDescent="0.15">
      <c r="A14" s="43" t="s">
        <v>55</v>
      </c>
      <c r="B14" s="43">
        <v>8.5563654339642747E-2</v>
      </c>
      <c r="C14" s="43">
        <v>0.11128995380786505</v>
      </c>
      <c r="D14" s="43">
        <v>0.20653465447345454</v>
      </c>
      <c r="E14" s="43">
        <v>0.11541648405798988</v>
      </c>
      <c r="F14" s="43">
        <v>5.3619179605477491E-2</v>
      </c>
      <c r="G14" s="43">
        <v>0.21742741505766047</v>
      </c>
      <c r="H14" s="43">
        <v>0.48697030569236199</v>
      </c>
      <c r="I14" s="43">
        <v>0.18656051478048064</v>
      </c>
      <c r="J14" s="43">
        <v>0.30130127339823631</v>
      </c>
      <c r="K14" s="43">
        <v>0.13258415646263097</v>
      </c>
      <c r="L14" s="43">
        <v>0.34230688343275156</v>
      </c>
      <c r="M14" s="43">
        <v>0.11908547088910598</v>
      </c>
      <c r="N14" s="43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9077-8051-4827-8B07-C45B9CDA3AD7}">
  <dimension ref="B2:V41"/>
  <sheetViews>
    <sheetView topLeftCell="C4" workbookViewId="0">
      <selection activeCell="I28" sqref="I28"/>
    </sheetView>
  </sheetViews>
  <sheetFormatPr defaultRowHeight="13.5" x14ac:dyDescent="0.15"/>
  <sheetData>
    <row r="2" spans="2:22" x14ac:dyDescent="0.15">
      <c r="T2" s="1"/>
    </row>
    <row r="4" spans="2:22" x14ac:dyDescent="0.15">
      <c r="E4" t="s">
        <v>32</v>
      </c>
      <c r="G4" t="s">
        <v>33</v>
      </c>
      <c r="J4" s="14" t="s">
        <v>98</v>
      </c>
      <c r="K4" s="14" t="s">
        <v>99</v>
      </c>
      <c r="L4" s="14" t="s">
        <v>100</v>
      </c>
      <c r="M4" s="14" t="s">
        <v>101</v>
      </c>
      <c r="N4" s="14" t="s">
        <v>102</v>
      </c>
      <c r="O4" s="14" t="s">
        <v>103</v>
      </c>
      <c r="P4" s="36" t="s">
        <v>8</v>
      </c>
      <c r="Q4" s="14" t="s">
        <v>104</v>
      </c>
      <c r="R4" s="14" t="s">
        <v>105</v>
      </c>
      <c r="S4" s="14" t="s">
        <v>106</v>
      </c>
      <c r="T4" s="14" t="s">
        <v>107</v>
      </c>
      <c r="U4" s="14" t="s">
        <v>108</v>
      </c>
      <c r="V4" s="14" t="s">
        <v>55</v>
      </c>
    </row>
    <row r="5" spans="2:22" x14ac:dyDescent="0.15">
      <c r="E5" s="18">
        <v>25.5</v>
      </c>
      <c r="G5" s="24">
        <v>22.5</v>
      </c>
      <c r="J5" s="4">
        <v>1</v>
      </c>
      <c r="K5" s="4">
        <v>0</v>
      </c>
      <c r="L5" s="4">
        <v>3</v>
      </c>
      <c r="M5" s="4">
        <v>2</v>
      </c>
      <c r="N5" s="4">
        <v>4</v>
      </c>
      <c r="O5" s="4">
        <v>2</v>
      </c>
      <c r="P5" s="4">
        <v>0</v>
      </c>
      <c r="Q5" s="4">
        <v>2</v>
      </c>
      <c r="R5" s="4">
        <v>2</v>
      </c>
      <c r="S5" s="4">
        <v>0.5</v>
      </c>
      <c r="T5" s="4">
        <v>0</v>
      </c>
      <c r="U5" s="4">
        <v>0</v>
      </c>
      <c r="V5" s="4">
        <v>0</v>
      </c>
    </row>
    <row r="6" spans="2:22" x14ac:dyDescent="0.15">
      <c r="C6">
        <f>0.27*19</f>
        <v>5.1300000000000008</v>
      </c>
      <c r="E6" s="18">
        <v>24.5</v>
      </c>
      <c r="G6" s="24">
        <v>20</v>
      </c>
      <c r="J6" s="2">
        <v>3</v>
      </c>
      <c r="K6" s="2">
        <v>1</v>
      </c>
      <c r="L6" s="2">
        <v>2</v>
      </c>
      <c r="M6" s="2">
        <v>3</v>
      </c>
      <c r="N6" s="2">
        <v>4</v>
      </c>
      <c r="O6" s="2">
        <v>1</v>
      </c>
      <c r="P6" s="2">
        <v>0.5</v>
      </c>
      <c r="Q6" s="2">
        <v>2</v>
      </c>
      <c r="R6" s="2">
        <v>2</v>
      </c>
      <c r="S6" s="2">
        <v>0</v>
      </c>
      <c r="T6" s="2">
        <v>1</v>
      </c>
      <c r="U6" s="2">
        <v>1</v>
      </c>
      <c r="V6" s="2">
        <v>2</v>
      </c>
    </row>
    <row r="7" spans="2:22" x14ac:dyDescent="0.15">
      <c r="C7">
        <f>-0.27*17</f>
        <v>-4.59</v>
      </c>
      <c r="E7" s="18">
        <v>24.5</v>
      </c>
      <c r="G7" s="24">
        <v>19.5</v>
      </c>
      <c r="J7" s="2">
        <v>3</v>
      </c>
      <c r="K7" s="2">
        <v>1</v>
      </c>
      <c r="L7" s="2">
        <v>4</v>
      </c>
      <c r="M7" s="2">
        <v>1.5</v>
      </c>
      <c r="N7" s="2">
        <v>3.5</v>
      </c>
      <c r="O7" s="2">
        <v>3</v>
      </c>
      <c r="P7" s="2">
        <v>0.5</v>
      </c>
      <c r="Q7" s="2">
        <v>2</v>
      </c>
      <c r="R7" s="2">
        <v>2</v>
      </c>
      <c r="S7" s="2">
        <v>0</v>
      </c>
      <c r="T7" s="2">
        <v>1</v>
      </c>
      <c r="U7" s="2">
        <v>0</v>
      </c>
      <c r="V7" s="2">
        <v>2</v>
      </c>
    </row>
    <row r="8" spans="2:22" x14ac:dyDescent="0.15">
      <c r="B8">
        <f>(AVERAGE(E5:E9)-AVERAGE(E19:E23))/5</f>
        <v>2.1599999999999997</v>
      </c>
      <c r="E8" s="18">
        <v>24</v>
      </c>
      <c r="G8" s="24">
        <v>19</v>
      </c>
      <c r="J8" s="2">
        <v>3</v>
      </c>
      <c r="K8" s="2">
        <v>1</v>
      </c>
      <c r="L8" s="2">
        <v>4</v>
      </c>
      <c r="M8" s="2">
        <v>2</v>
      </c>
      <c r="N8" s="2">
        <v>5</v>
      </c>
      <c r="O8" s="2">
        <v>3</v>
      </c>
      <c r="P8" s="2">
        <v>1</v>
      </c>
      <c r="Q8" s="2">
        <v>2</v>
      </c>
      <c r="R8" s="2">
        <v>2</v>
      </c>
      <c r="S8" s="2">
        <v>0</v>
      </c>
      <c r="T8" s="2">
        <v>0.5</v>
      </c>
      <c r="U8" s="2">
        <v>0</v>
      </c>
      <c r="V8" s="2">
        <v>2</v>
      </c>
    </row>
    <row r="9" spans="2:22" x14ac:dyDescent="0.15">
      <c r="B9" s="1">
        <f>((AVERAGE(G5:G9)-AVERAGE(G18:G22))/5)</f>
        <v>2.66</v>
      </c>
      <c r="E9" s="18">
        <v>23.5</v>
      </c>
      <c r="G9" s="24">
        <v>16.5</v>
      </c>
      <c r="J9" s="2">
        <v>3</v>
      </c>
      <c r="K9" s="2">
        <v>0</v>
      </c>
      <c r="L9" s="2">
        <v>2</v>
      </c>
      <c r="M9" s="2">
        <v>2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</row>
    <row r="10" spans="2:22" x14ac:dyDescent="0.15">
      <c r="E10">
        <v>23.5</v>
      </c>
      <c r="G10">
        <v>16.5</v>
      </c>
      <c r="J10" s="2">
        <v>4</v>
      </c>
      <c r="K10" s="2">
        <v>1</v>
      </c>
      <c r="L10" s="2">
        <v>3</v>
      </c>
      <c r="M10" s="2">
        <v>2.5</v>
      </c>
      <c r="N10" s="2">
        <v>4</v>
      </c>
      <c r="O10" s="2">
        <v>2.5</v>
      </c>
      <c r="P10" s="2">
        <v>0.5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1</v>
      </c>
    </row>
    <row r="11" spans="2:22" x14ac:dyDescent="0.15">
      <c r="E11">
        <v>23.5</v>
      </c>
      <c r="G11">
        <v>16</v>
      </c>
      <c r="J11" s="2">
        <v>2</v>
      </c>
      <c r="K11" s="2">
        <v>1</v>
      </c>
      <c r="L11" s="2">
        <v>0</v>
      </c>
      <c r="M11" s="2">
        <v>1</v>
      </c>
      <c r="N11" s="2">
        <v>3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1</v>
      </c>
      <c r="V11" s="2">
        <v>0</v>
      </c>
    </row>
    <row r="12" spans="2:22" x14ac:dyDescent="0.15">
      <c r="E12">
        <v>22.5</v>
      </c>
      <c r="G12">
        <v>15</v>
      </c>
      <c r="J12" s="2">
        <v>3</v>
      </c>
      <c r="K12" s="2">
        <v>1</v>
      </c>
      <c r="L12" s="2">
        <v>4</v>
      </c>
      <c r="M12" s="2">
        <v>1.5</v>
      </c>
      <c r="N12" s="2">
        <v>4</v>
      </c>
      <c r="O12" s="2">
        <v>1</v>
      </c>
      <c r="P12" s="2">
        <v>0.5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0.5</v>
      </c>
    </row>
    <row r="13" spans="2:22" x14ac:dyDescent="0.15">
      <c r="E13">
        <v>21</v>
      </c>
      <c r="G13">
        <v>14.5</v>
      </c>
      <c r="J13" s="2">
        <v>2</v>
      </c>
      <c r="K13" s="2">
        <v>0</v>
      </c>
      <c r="L13" s="2">
        <v>3</v>
      </c>
      <c r="M13" s="2">
        <v>2.5</v>
      </c>
      <c r="N13" s="2">
        <v>2</v>
      </c>
      <c r="O13" s="2">
        <v>3</v>
      </c>
      <c r="P13" s="2">
        <v>1</v>
      </c>
      <c r="Q13" s="2">
        <v>2</v>
      </c>
      <c r="R13" s="2">
        <v>2</v>
      </c>
      <c r="S13" s="2">
        <v>0</v>
      </c>
      <c r="T13" s="2">
        <v>0</v>
      </c>
      <c r="U13" s="2">
        <v>0</v>
      </c>
      <c r="V13" s="2">
        <v>0.5</v>
      </c>
    </row>
    <row r="14" spans="2:22" x14ac:dyDescent="0.15">
      <c r="E14">
        <v>20.5</v>
      </c>
      <c r="G14">
        <v>13.5</v>
      </c>
      <c r="J14" s="2">
        <v>3</v>
      </c>
      <c r="K14" s="2">
        <v>1</v>
      </c>
      <c r="L14" s="2">
        <v>2</v>
      </c>
      <c r="M14" s="2">
        <v>3</v>
      </c>
      <c r="N14" s="2">
        <v>4</v>
      </c>
      <c r="O14" s="2">
        <v>3</v>
      </c>
      <c r="P14" s="2">
        <v>1</v>
      </c>
      <c r="Q14" s="2">
        <v>2</v>
      </c>
      <c r="R14" s="2">
        <v>2</v>
      </c>
      <c r="S14" s="2">
        <v>0</v>
      </c>
      <c r="T14" s="2">
        <v>0.5</v>
      </c>
      <c r="U14" s="2">
        <v>0</v>
      </c>
      <c r="V14" s="2">
        <v>2</v>
      </c>
    </row>
    <row r="15" spans="2:22" x14ac:dyDescent="0.15">
      <c r="E15">
        <v>20</v>
      </c>
      <c r="G15">
        <v>12</v>
      </c>
      <c r="J15" s="2">
        <v>2</v>
      </c>
      <c r="K15" s="2">
        <v>2</v>
      </c>
      <c r="L15" s="2">
        <v>2</v>
      </c>
      <c r="M15" s="2">
        <v>2.5</v>
      </c>
      <c r="N15" s="2">
        <v>3</v>
      </c>
      <c r="O15" s="2">
        <v>0</v>
      </c>
      <c r="P15" s="2">
        <v>0.5</v>
      </c>
      <c r="Q15" s="2">
        <v>0</v>
      </c>
      <c r="R15" s="2">
        <v>2</v>
      </c>
      <c r="S15" s="2">
        <v>1</v>
      </c>
      <c r="T15" s="2">
        <v>1</v>
      </c>
      <c r="U15" s="2">
        <v>0</v>
      </c>
      <c r="V15" s="2">
        <v>2</v>
      </c>
    </row>
    <row r="16" spans="2:22" x14ac:dyDescent="0.15">
      <c r="E16">
        <v>18</v>
      </c>
      <c r="G16">
        <v>11</v>
      </c>
      <c r="J16" s="2">
        <v>2</v>
      </c>
      <c r="K16" s="2">
        <v>2</v>
      </c>
      <c r="L16" s="2">
        <v>3</v>
      </c>
      <c r="M16" s="2">
        <v>2</v>
      </c>
      <c r="N16" s="2">
        <v>4</v>
      </c>
      <c r="O16" s="2">
        <v>3</v>
      </c>
      <c r="P16" s="2">
        <v>0.5</v>
      </c>
      <c r="Q16" s="2">
        <v>2</v>
      </c>
      <c r="R16" s="2">
        <v>2</v>
      </c>
      <c r="S16" s="2">
        <v>0.5</v>
      </c>
      <c r="T16" s="2">
        <v>1</v>
      </c>
      <c r="U16" s="2">
        <v>0.5</v>
      </c>
      <c r="V16" s="2">
        <v>1</v>
      </c>
    </row>
    <row r="17" spans="5:22" x14ac:dyDescent="0.15">
      <c r="E17">
        <v>18</v>
      </c>
      <c r="G17">
        <v>11</v>
      </c>
      <c r="J17" s="2">
        <v>3</v>
      </c>
      <c r="K17" s="2">
        <v>3</v>
      </c>
      <c r="L17" s="2">
        <v>2</v>
      </c>
      <c r="M17" s="2">
        <v>1.5</v>
      </c>
      <c r="N17" s="2">
        <v>4</v>
      </c>
      <c r="O17" s="2">
        <v>3</v>
      </c>
      <c r="P17" s="2">
        <v>1</v>
      </c>
      <c r="Q17" s="2">
        <v>2</v>
      </c>
      <c r="R17" s="2">
        <v>0</v>
      </c>
      <c r="S17" s="2">
        <v>0</v>
      </c>
      <c r="T17" s="2">
        <v>0</v>
      </c>
      <c r="U17" s="2">
        <v>0.5</v>
      </c>
      <c r="V17" s="2">
        <v>1</v>
      </c>
    </row>
    <row r="18" spans="5:22" x14ac:dyDescent="0.15">
      <c r="E18">
        <v>18</v>
      </c>
      <c r="G18" s="25">
        <v>9</v>
      </c>
      <c r="J18" s="2">
        <v>3</v>
      </c>
      <c r="K18" s="2">
        <v>1</v>
      </c>
      <c r="L18" s="2">
        <v>4</v>
      </c>
      <c r="M18" s="2">
        <v>2.5</v>
      </c>
      <c r="N18" s="2">
        <v>4</v>
      </c>
      <c r="O18" s="2">
        <v>3</v>
      </c>
      <c r="P18" s="2">
        <v>0</v>
      </c>
      <c r="Q18" s="2">
        <v>2</v>
      </c>
      <c r="R18" s="2">
        <v>2</v>
      </c>
      <c r="S18" s="2">
        <v>1</v>
      </c>
      <c r="T18" s="2">
        <v>1</v>
      </c>
      <c r="U18" s="2">
        <v>0</v>
      </c>
      <c r="V18" s="2">
        <v>1</v>
      </c>
    </row>
    <row r="19" spans="5:22" x14ac:dyDescent="0.15">
      <c r="E19" s="19">
        <v>17.5</v>
      </c>
      <c r="G19" s="25">
        <v>8.5</v>
      </c>
      <c r="J19" s="2">
        <v>2</v>
      </c>
      <c r="K19" s="2">
        <v>0</v>
      </c>
      <c r="L19" s="2">
        <v>4</v>
      </c>
      <c r="M19" s="2">
        <v>1.5</v>
      </c>
      <c r="N19" s="2">
        <v>4</v>
      </c>
      <c r="O19" s="2">
        <v>3</v>
      </c>
      <c r="P19" s="2">
        <v>0.5</v>
      </c>
      <c r="Q19" s="2">
        <v>2</v>
      </c>
      <c r="R19" s="2">
        <v>2</v>
      </c>
      <c r="S19" s="2">
        <v>0</v>
      </c>
      <c r="T19" s="2">
        <v>0</v>
      </c>
      <c r="U19" s="2">
        <v>0</v>
      </c>
      <c r="V19" s="2">
        <v>1</v>
      </c>
    </row>
    <row r="20" spans="5:22" x14ac:dyDescent="0.15">
      <c r="E20" s="19">
        <v>17</v>
      </c>
      <c r="G20" s="25">
        <v>6.5</v>
      </c>
      <c r="J20" s="2">
        <v>3</v>
      </c>
      <c r="K20" s="2">
        <v>1</v>
      </c>
      <c r="L20" s="2">
        <v>4</v>
      </c>
      <c r="M20" s="2">
        <v>3</v>
      </c>
      <c r="N20" s="2">
        <v>4</v>
      </c>
      <c r="O20" s="2">
        <v>3</v>
      </c>
      <c r="P20" s="2">
        <v>0.5</v>
      </c>
      <c r="Q20" s="2">
        <v>2</v>
      </c>
      <c r="R20" s="2">
        <v>2</v>
      </c>
      <c r="S20" s="2">
        <v>0</v>
      </c>
      <c r="T20" s="2">
        <v>0</v>
      </c>
      <c r="U20" s="2">
        <v>1</v>
      </c>
      <c r="V20" s="2">
        <v>1</v>
      </c>
    </row>
    <row r="21" spans="5:22" x14ac:dyDescent="0.15">
      <c r="E21" s="19">
        <v>16.5</v>
      </c>
      <c r="G21" s="25">
        <v>5</v>
      </c>
      <c r="J21" s="2">
        <v>2</v>
      </c>
      <c r="K21" s="2">
        <v>2</v>
      </c>
      <c r="L21" s="2">
        <v>4</v>
      </c>
      <c r="M21" s="2">
        <v>3</v>
      </c>
      <c r="N21" s="2">
        <v>4</v>
      </c>
      <c r="O21" s="2">
        <v>3</v>
      </c>
      <c r="P21" s="2">
        <v>1</v>
      </c>
      <c r="Q21" s="2">
        <v>0</v>
      </c>
      <c r="R21" s="2">
        <v>1</v>
      </c>
      <c r="S21" s="2">
        <v>1</v>
      </c>
      <c r="T21" s="2">
        <v>0</v>
      </c>
      <c r="U21" s="2">
        <v>1</v>
      </c>
      <c r="V21" s="2">
        <v>2</v>
      </c>
    </row>
    <row r="22" spans="5:22" x14ac:dyDescent="0.15">
      <c r="E22" s="19">
        <v>9</v>
      </c>
      <c r="G22" s="25">
        <v>2</v>
      </c>
      <c r="J22" s="2">
        <v>0</v>
      </c>
      <c r="K22" s="2">
        <v>0</v>
      </c>
      <c r="L22" s="2">
        <v>1</v>
      </c>
      <c r="M22" s="2">
        <v>2.5</v>
      </c>
      <c r="N22" s="2">
        <v>4</v>
      </c>
      <c r="O22" s="2">
        <v>2</v>
      </c>
      <c r="P22" s="2">
        <v>0.5</v>
      </c>
      <c r="Q22" s="2">
        <v>2</v>
      </c>
      <c r="R22" s="2">
        <v>2</v>
      </c>
      <c r="S22" s="2">
        <v>0</v>
      </c>
      <c r="T22" s="2">
        <v>1</v>
      </c>
      <c r="U22" s="2">
        <v>1</v>
      </c>
      <c r="V22" s="2">
        <v>2</v>
      </c>
    </row>
    <row r="23" spans="5:22" x14ac:dyDescent="0.15">
      <c r="E23" s="19">
        <v>8</v>
      </c>
      <c r="J23" s="2">
        <v>3</v>
      </c>
      <c r="K23" s="2">
        <v>0</v>
      </c>
      <c r="L23" s="2">
        <v>4</v>
      </c>
      <c r="M23" s="2">
        <v>2</v>
      </c>
      <c r="N23" s="2">
        <v>0</v>
      </c>
      <c r="O23" s="2">
        <v>1</v>
      </c>
      <c r="P23" s="2">
        <v>0.5</v>
      </c>
      <c r="Q23" s="2">
        <v>0</v>
      </c>
      <c r="R23" s="2">
        <v>2</v>
      </c>
      <c r="S23" s="2">
        <v>1</v>
      </c>
      <c r="T23" s="2">
        <v>1</v>
      </c>
      <c r="U23" s="2">
        <v>0.5</v>
      </c>
      <c r="V23" s="2">
        <v>2</v>
      </c>
    </row>
    <row r="24" spans="5:22" x14ac:dyDescent="0.15">
      <c r="J24" s="4">
        <v>3</v>
      </c>
      <c r="K24" s="4">
        <v>2</v>
      </c>
      <c r="L24" s="4">
        <v>3</v>
      </c>
      <c r="M24" s="4">
        <v>1</v>
      </c>
      <c r="N24" s="4">
        <v>3</v>
      </c>
      <c r="O24" s="4">
        <v>0</v>
      </c>
      <c r="P24" s="4">
        <v>1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2</v>
      </c>
    </row>
    <row r="25" spans="5:22" x14ac:dyDescent="0.15">
      <c r="J25" s="2">
        <v>3</v>
      </c>
      <c r="K25" s="2">
        <v>0</v>
      </c>
      <c r="L25" s="2">
        <v>2</v>
      </c>
      <c r="M25" s="2">
        <v>0</v>
      </c>
      <c r="N25" s="2">
        <v>0</v>
      </c>
      <c r="O25" s="2">
        <v>0</v>
      </c>
      <c r="P25" s="2">
        <v>0</v>
      </c>
      <c r="Q25" s="2">
        <v>2</v>
      </c>
      <c r="R25" s="2">
        <v>1</v>
      </c>
      <c r="S25" s="2">
        <v>1</v>
      </c>
      <c r="T25" s="2">
        <v>0</v>
      </c>
      <c r="U25" s="2">
        <v>0</v>
      </c>
      <c r="V25" s="2">
        <v>2</v>
      </c>
    </row>
    <row r="26" spans="5:22" x14ac:dyDescent="0.15">
      <c r="J26" s="2">
        <v>1</v>
      </c>
      <c r="K26" s="2">
        <v>0</v>
      </c>
      <c r="L26" s="2">
        <v>0</v>
      </c>
      <c r="M26" s="2">
        <v>2</v>
      </c>
      <c r="N26" s="2">
        <v>4</v>
      </c>
      <c r="O26" s="2">
        <v>3</v>
      </c>
      <c r="P26" s="2">
        <v>0</v>
      </c>
      <c r="Q26" s="2">
        <v>2</v>
      </c>
      <c r="R26" s="2">
        <v>2</v>
      </c>
      <c r="S26" s="2">
        <v>0</v>
      </c>
      <c r="T26" s="2">
        <v>1</v>
      </c>
      <c r="U26" s="2">
        <v>0.5</v>
      </c>
      <c r="V26" s="2">
        <v>1</v>
      </c>
    </row>
    <row r="27" spans="5:22" x14ac:dyDescent="0.15">
      <c r="J27" s="2">
        <v>1</v>
      </c>
      <c r="K27" s="2">
        <v>1</v>
      </c>
      <c r="L27" s="2">
        <v>1</v>
      </c>
      <c r="M27" s="2">
        <v>1</v>
      </c>
      <c r="N27" s="2">
        <v>1.5</v>
      </c>
      <c r="O27" s="2">
        <v>2</v>
      </c>
      <c r="P27" s="2">
        <v>0</v>
      </c>
      <c r="Q27" s="2">
        <v>2</v>
      </c>
      <c r="R27" s="2">
        <v>2</v>
      </c>
      <c r="S27" s="2">
        <v>0</v>
      </c>
      <c r="T27" s="2">
        <v>0</v>
      </c>
      <c r="U27" s="2">
        <v>0</v>
      </c>
      <c r="V27" s="2">
        <v>2</v>
      </c>
    </row>
    <row r="28" spans="5:22" x14ac:dyDescent="0.15">
      <c r="J28" s="2">
        <v>2</v>
      </c>
      <c r="K28" s="2">
        <v>2</v>
      </c>
      <c r="L28" s="2">
        <v>4</v>
      </c>
      <c r="M28" s="2">
        <v>1.5</v>
      </c>
      <c r="N28" s="2">
        <v>3</v>
      </c>
      <c r="O28" s="2">
        <v>1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1</v>
      </c>
      <c r="V28" s="2">
        <v>1</v>
      </c>
    </row>
    <row r="29" spans="5:22" x14ac:dyDescent="0.15">
      <c r="J29" s="2">
        <v>0</v>
      </c>
      <c r="K29" s="2">
        <v>1</v>
      </c>
      <c r="L29" s="2">
        <v>4</v>
      </c>
      <c r="M29" s="2">
        <v>1.5</v>
      </c>
      <c r="N29" s="2">
        <v>3</v>
      </c>
      <c r="O29" s="2">
        <v>2</v>
      </c>
      <c r="P29" s="2">
        <v>1</v>
      </c>
      <c r="Q29" s="2">
        <v>2</v>
      </c>
      <c r="R29" s="2">
        <v>2</v>
      </c>
      <c r="S29" s="2">
        <v>0</v>
      </c>
      <c r="T29" s="2">
        <v>1</v>
      </c>
      <c r="U29" s="2">
        <v>0.5</v>
      </c>
      <c r="V29" s="2">
        <v>2</v>
      </c>
    </row>
    <row r="30" spans="5:22" x14ac:dyDescent="0.15">
      <c r="J30" s="2">
        <v>2</v>
      </c>
      <c r="K30" s="2">
        <v>0</v>
      </c>
      <c r="L30" s="2">
        <v>1</v>
      </c>
      <c r="M30" s="2">
        <v>1.5</v>
      </c>
      <c r="N30" s="2">
        <v>1</v>
      </c>
      <c r="O30" s="2">
        <v>0</v>
      </c>
      <c r="P30" s="2">
        <v>0</v>
      </c>
      <c r="Q30" s="2">
        <v>0</v>
      </c>
      <c r="R30" s="2">
        <v>2</v>
      </c>
      <c r="S30" s="2">
        <v>0</v>
      </c>
      <c r="T30" s="2">
        <v>0</v>
      </c>
      <c r="U30" s="2">
        <v>0</v>
      </c>
      <c r="V30" s="2">
        <v>1</v>
      </c>
    </row>
    <row r="31" spans="5:22" x14ac:dyDescent="0.15">
      <c r="J31" s="2">
        <v>2</v>
      </c>
      <c r="K31" s="2">
        <v>0</v>
      </c>
      <c r="L31" s="2">
        <v>0</v>
      </c>
      <c r="M31" s="2">
        <v>3</v>
      </c>
      <c r="N31" s="2">
        <v>3</v>
      </c>
      <c r="O31" s="2">
        <v>1</v>
      </c>
      <c r="P31" s="2">
        <v>0</v>
      </c>
      <c r="Q31" s="2">
        <v>0</v>
      </c>
      <c r="R31" s="2">
        <v>0</v>
      </c>
      <c r="S31" s="2">
        <v>1</v>
      </c>
      <c r="T31" s="2">
        <v>0</v>
      </c>
      <c r="U31" s="2">
        <v>0</v>
      </c>
      <c r="V31" s="2">
        <v>1</v>
      </c>
    </row>
    <row r="32" spans="5:22" x14ac:dyDescent="0.15">
      <c r="J32" s="2">
        <v>3</v>
      </c>
      <c r="K32" s="2">
        <v>0</v>
      </c>
      <c r="L32" s="2">
        <v>1</v>
      </c>
      <c r="M32" s="2">
        <v>1</v>
      </c>
      <c r="N32" s="2">
        <v>4</v>
      </c>
      <c r="O32" s="2">
        <v>2.5</v>
      </c>
      <c r="P32" s="2">
        <v>0.5</v>
      </c>
      <c r="Q32" s="2">
        <v>0</v>
      </c>
      <c r="R32" s="2">
        <v>2</v>
      </c>
      <c r="S32" s="2">
        <v>0</v>
      </c>
      <c r="T32" s="2">
        <v>0</v>
      </c>
      <c r="U32" s="2">
        <v>0</v>
      </c>
      <c r="V32" s="2">
        <v>2</v>
      </c>
    </row>
    <row r="33" spans="10:22" x14ac:dyDescent="0.15">
      <c r="J33" s="2">
        <v>3</v>
      </c>
      <c r="K33" s="2">
        <v>2</v>
      </c>
      <c r="L33" s="2">
        <v>1</v>
      </c>
      <c r="M33" s="2">
        <v>3</v>
      </c>
      <c r="N33" s="2">
        <v>4</v>
      </c>
      <c r="O33" s="2">
        <v>3</v>
      </c>
      <c r="P33" s="2">
        <v>0.5</v>
      </c>
      <c r="Q33" s="2">
        <v>2</v>
      </c>
      <c r="R33" s="2">
        <v>2</v>
      </c>
      <c r="S33" s="2">
        <v>0</v>
      </c>
      <c r="T33" s="2">
        <v>0</v>
      </c>
      <c r="U33" s="2">
        <v>0</v>
      </c>
      <c r="V33" s="2">
        <v>2</v>
      </c>
    </row>
    <row r="34" spans="10:22" x14ac:dyDescent="0.15"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0.5</v>
      </c>
      <c r="Q34" s="2">
        <v>2</v>
      </c>
      <c r="R34" s="2">
        <v>2</v>
      </c>
      <c r="S34" s="2">
        <v>0</v>
      </c>
      <c r="T34" s="2">
        <v>0</v>
      </c>
      <c r="U34" s="2">
        <v>0</v>
      </c>
      <c r="V34" s="2">
        <v>1</v>
      </c>
    </row>
    <row r="35" spans="10:22" x14ac:dyDescent="0.15">
      <c r="J35" s="2">
        <v>0</v>
      </c>
      <c r="K35" s="2">
        <v>0</v>
      </c>
      <c r="L35" s="2">
        <v>0</v>
      </c>
      <c r="M35" s="2">
        <v>1.5</v>
      </c>
      <c r="N35" s="2">
        <v>0</v>
      </c>
      <c r="O35" s="2">
        <v>1</v>
      </c>
      <c r="P35" s="2">
        <v>0.5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2</v>
      </c>
    </row>
    <row r="36" spans="10:22" x14ac:dyDescent="0.15">
      <c r="J36" s="2">
        <v>2</v>
      </c>
      <c r="K36" s="2">
        <v>2</v>
      </c>
      <c r="L36" s="2">
        <v>2</v>
      </c>
      <c r="M36" s="2">
        <v>1</v>
      </c>
      <c r="N36" s="2">
        <v>4</v>
      </c>
      <c r="O36" s="2">
        <v>1</v>
      </c>
      <c r="P36" s="2">
        <v>0</v>
      </c>
      <c r="Q36" s="2">
        <v>0</v>
      </c>
      <c r="R36" s="2">
        <v>2</v>
      </c>
      <c r="S36" s="2">
        <v>1</v>
      </c>
      <c r="T36" s="2">
        <v>1</v>
      </c>
      <c r="U36" s="2">
        <v>1</v>
      </c>
      <c r="V36" s="2">
        <v>2</v>
      </c>
    </row>
    <row r="37" spans="10:22" x14ac:dyDescent="0.15">
      <c r="J37" s="2">
        <v>3</v>
      </c>
      <c r="K37" s="2">
        <v>3</v>
      </c>
      <c r="L37" s="2">
        <v>1</v>
      </c>
      <c r="M37" s="2">
        <v>3</v>
      </c>
      <c r="N37" s="2">
        <v>4</v>
      </c>
      <c r="O37" s="2">
        <v>2</v>
      </c>
      <c r="P37" s="2">
        <v>0.5</v>
      </c>
      <c r="Q37" s="2">
        <v>0</v>
      </c>
      <c r="R37" s="2">
        <v>2</v>
      </c>
      <c r="S37" s="2">
        <v>0</v>
      </c>
      <c r="T37" s="2">
        <v>0</v>
      </c>
      <c r="U37" s="2">
        <v>0</v>
      </c>
      <c r="V37" s="2">
        <v>1</v>
      </c>
    </row>
    <row r="38" spans="10:22" x14ac:dyDescent="0.15">
      <c r="J38" s="2">
        <v>2</v>
      </c>
      <c r="K38" s="2">
        <v>0</v>
      </c>
      <c r="L38" s="2">
        <v>2</v>
      </c>
      <c r="M38" s="2">
        <v>1</v>
      </c>
      <c r="N38" s="2">
        <v>1</v>
      </c>
      <c r="O38" s="2">
        <v>1</v>
      </c>
      <c r="P38" s="2">
        <v>0</v>
      </c>
      <c r="Q38" s="2">
        <v>0</v>
      </c>
      <c r="R38" s="2">
        <v>2</v>
      </c>
      <c r="S38" s="2">
        <v>0</v>
      </c>
      <c r="T38" s="2">
        <v>0</v>
      </c>
      <c r="U38" s="2">
        <v>0</v>
      </c>
      <c r="V38" s="2">
        <v>0</v>
      </c>
    </row>
    <row r="39" spans="10:22" x14ac:dyDescent="0.15">
      <c r="J39" s="2">
        <v>3</v>
      </c>
      <c r="K39" s="2">
        <v>2</v>
      </c>
      <c r="L39" s="2">
        <v>0</v>
      </c>
      <c r="M39" s="2">
        <v>1</v>
      </c>
      <c r="N39" s="2">
        <v>4</v>
      </c>
      <c r="O39" s="2">
        <v>0</v>
      </c>
      <c r="P39" s="2">
        <v>0</v>
      </c>
      <c r="Q39" s="2">
        <v>1</v>
      </c>
      <c r="R39" s="2">
        <v>2</v>
      </c>
      <c r="S39" s="2">
        <v>0</v>
      </c>
      <c r="T39" s="2">
        <v>1</v>
      </c>
      <c r="U39" s="2">
        <v>0.5</v>
      </c>
      <c r="V39" s="2">
        <v>0</v>
      </c>
    </row>
    <row r="40" spans="10:22" x14ac:dyDescent="0.15">
      <c r="J40" s="2">
        <v>0</v>
      </c>
      <c r="K40" s="2">
        <v>0</v>
      </c>
      <c r="L40" s="2">
        <v>1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</row>
    <row r="41" spans="10:22" x14ac:dyDescent="0.15">
      <c r="J41" s="2">
        <v>1</v>
      </c>
      <c r="K41" s="2">
        <v>2</v>
      </c>
      <c r="L41" s="2">
        <v>0</v>
      </c>
      <c r="M41" s="2">
        <v>3</v>
      </c>
      <c r="N41" s="2">
        <v>4</v>
      </c>
      <c r="O41" s="2">
        <v>2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</row>
  </sheetData>
  <sortState xmlns:xlrd2="http://schemas.microsoft.com/office/spreadsheetml/2017/richdata2" ref="R5:R44">
    <sortCondition descending="1" ref="R12:R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Male</vt:lpstr>
      <vt:lpstr>Female</vt:lpstr>
      <vt:lpstr>Interpretation</vt:lpstr>
      <vt:lpstr>Corrlation analysis</vt:lpstr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Mohammed Hussein Ali Al sarem</cp:lastModifiedBy>
  <dcterms:created xsi:type="dcterms:W3CDTF">2015-06-05T18:17:20Z</dcterms:created>
  <dcterms:modified xsi:type="dcterms:W3CDTF">2025-11-30T20:02:58Z</dcterms:modified>
</cp:coreProperties>
</file>